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CompuFire\Desktop\"/>
    </mc:Choice>
  </mc:AlternateContent>
  <xr:revisionPtr revIDLastSave="0" documentId="8_{AAE33B2A-1A23-4D80-8567-DD4810D20B00}" xr6:coauthVersionLast="45" xr6:coauthVersionMax="45" xr10:uidLastSave="{00000000-0000-0000-0000-000000000000}"/>
  <bookViews>
    <workbookView xWindow="-120" yWindow="-120" windowWidth="20730" windowHeight="11040" xr2:uid="{94363219-BC1D-4E8B-AA4D-9CC7D17AC0EC}"/>
  </bookViews>
  <sheets>
    <sheet name="Informe de inducción operativa"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4" i="1"/>
  <c r="M65" i="1" l="1"/>
  <c r="L65" i="1"/>
  <c r="K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65" i="1" l="1"/>
</calcChain>
</file>

<file path=xl/sharedStrings.xml><?xml version="1.0" encoding="utf-8"?>
<sst xmlns="http://schemas.openxmlformats.org/spreadsheetml/2006/main" count="477" uniqueCount="221">
  <si>
    <t>Participantes en el proceso de Inducción General del año 2026</t>
  </si>
  <si>
    <t>No.</t>
  </si>
  <si>
    <t>Mes de ingreso</t>
  </si>
  <si>
    <t>Agencia</t>
  </si>
  <si>
    <t>Nombre</t>
  </si>
  <si>
    <t>Puesto</t>
  </si>
  <si>
    <t>Fecha ingreso</t>
  </si>
  <si>
    <t>No. teléfono</t>
  </si>
  <si>
    <t>Motivo de ingreso</t>
  </si>
  <si>
    <t>Informe</t>
  </si>
  <si>
    <t>Nota de Desarrollo Técnico</t>
  </si>
  <si>
    <t>Nota de Operaciones</t>
  </si>
  <si>
    <t>Nota de Atención al asociado</t>
  </si>
  <si>
    <t>Nota total</t>
  </si>
  <si>
    <t>tipo de colaborador</t>
  </si>
  <si>
    <t>Observaciones</t>
  </si>
  <si>
    <t>Marzo</t>
  </si>
  <si>
    <t>38. Santiago Atitlán</t>
  </si>
  <si>
    <t>Gustavo Maximiliano Gomez Barán</t>
  </si>
  <si>
    <t>Asesor de Créditos</t>
  </si>
  <si>
    <t>5766 3053</t>
  </si>
  <si>
    <t>Reemplazo</t>
  </si>
  <si>
    <t>INFORME INDUCCION GUSTAVO GOMEZ.pdf</t>
  </si>
  <si>
    <t>42. C.C. Hermo Vista Chichicastenango</t>
  </si>
  <si>
    <t>Astrid Leticia Salvador Pol</t>
  </si>
  <si>
    <t>Cajero General</t>
  </si>
  <si>
    <t>4965 5205</t>
  </si>
  <si>
    <t>Nuevo Puesto</t>
  </si>
  <si>
    <t xml:space="preserve">Informe de Inducción Operativa </t>
  </si>
  <si>
    <t>la compañera tiene iniciativa y compromiso en poder aprender todos los procesos de la cooperativa, se le ha complicado por motivo que carece de experencia en área financiera</t>
  </si>
  <si>
    <t>Edvin Tomás Lux Méndez</t>
  </si>
  <si>
    <t>Gerente de Agencia</t>
  </si>
  <si>
    <t>4732 7513</t>
  </si>
  <si>
    <t>Juana Sindy Macario Xón</t>
  </si>
  <si>
    <t>Receptor Pagador</t>
  </si>
  <si>
    <t>3041 8621</t>
  </si>
  <si>
    <t>la compañera tiene una gran confianza en ella misma, lo que durante el proceso fue bueno pero en momentos jugo en su contra, solia salterse procesos, tiene una gran apertura en aprender, apoya a sus compañeros y muestra liderazgo.</t>
  </si>
  <si>
    <t>María Mishel Tiniguario Tzoc</t>
  </si>
  <si>
    <t>4937 3828</t>
  </si>
  <si>
    <t xml:space="preserve"> la compañera tiene iniciativa y compromiso en mejorar, a pesar de la falta de experencia pudo adaptarse de forma positiva a los procesos y poniendo en practica cada lineamiento que fue impartido, siempre busco aprender mas.</t>
  </si>
  <si>
    <t>Angelina Tomasa León Jerónimo</t>
  </si>
  <si>
    <t>Atención al Cliente</t>
  </si>
  <si>
    <t>4980 9280</t>
  </si>
  <si>
    <t>INFORME INDUCCIÓN OPERATIVA</t>
  </si>
  <si>
    <t>La colaboaradora ya posee conocimiento del proceso, sin embargo necesita mejorar la exactitud en el ingreso de los datos para alcanzar el nivel de competencia requerido para el puesto.</t>
  </si>
  <si>
    <t>Evelyn Mishell Karen Pixcar Canil</t>
  </si>
  <si>
    <t>5788 4978</t>
  </si>
  <si>
    <t>La colaboradora ya posee conocimiento del proceso, sin embargo se distrae y pierde consentración en el proceso de las consultas, requiere supervición y práctica.</t>
  </si>
  <si>
    <t>Cristian Anderson Suar Panjoj</t>
  </si>
  <si>
    <t>4572 5057</t>
  </si>
  <si>
    <t>INFORME INDUCCION CRISTIAN SUAR.pdf</t>
  </si>
  <si>
    <t>25. Terminal Guatemala</t>
  </si>
  <si>
    <t>Cristian Geovany Tut Baran</t>
  </si>
  <si>
    <t>3275-8417</t>
  </si>
  <si>
    <t xml:space="preserve">el compañero carece de concentración durante la explicación de los procesos, suele manejar los procesos generales de Finansys pero se le complica cuando se le sube un grado de dificultad a las transacciones. Tiene compromiso en aprender y muestra mejor sus habilidades bajo presión. </t>
  </si>
  <si>
    <t>04. Panajachel</t>
  </si>
  <si>
    <t>María Eugenia Francisca Buch Bixcul</t>
  </si>
  <si>
    <t>5970 9848</t>
  </si>
  <si>
    <t xml:space="preserve">INFORME INDUCCION OPERATIVA </t>
  </si>
  <si>
    <t xml:space="preserve"> la compañera tiene una gran confianza en ella misma, muestra trabajo en equipo y se adapta de manera rapida a los cambios, mostro interes en aprender el sistema Finansys, es una persona comprometida y responsable</t>
  </si>
  <si>
    <t>06. Patzún</t>
  </si>
  <si>
    <t>Lesly Alejandra Muxtay Xicay</t>
  </si>
  <si>
    <t>3110 6078</t>
  </si>
  <si>
    <t>Reforzar la práctica guiada de los procesos. Promover el uso constante de la guía de criterios. Fortalecer el conocimiento de productos y servicios. Desarrollar confianza y seguridad en la atención al asociado.</t>
  </si>
  <si>
    <t>03. Comalapa</t>
  </si>
  <si>
    <t>Shirly Marleny Lady Chalí Cortez</t>
  </si>
  <si>
    <t>Anfitrión de servicios</t>
  </si>
  <si>
    <t>5590 7349</t>
  </si>
  <si>
    <t>Continuar reforzando el conocimiento de productos y servicios hasta alcanzar un dominio total. Mantener la constancia en el aprendizaje autónomo.
Seguir desarrollando habilidades de atención y orientación al Asociado.</t>
  </si>
  <si>
    <t>05. Chimaltenango</t>
  </si>
  <si>
    <t>Selma Mishell Tubac Figueroa</t>
  </si>
  <si>
    <t>3377 1991</t>
  </si>
  <si>
    <t>a compañera tiene iniciativa y liderazgo, suele trabajar muy bien en trabajo equipo, tiene buena retención a la hora de realizar ejercicios practicos</t>
  </si>
  <si>
    <t>00. Talento Humano</t>
  </si>
  <si>
    <t>Pedro Alexander Vicente Nat</t>
  </si>
  <si>
    <t>Receptor Pagador Rotativo</t>
  </si>
  <si>
    <t>5202 1483</t>
  </si>
  <si>
    <t>el compañero tiene responsabilidad, e interes en poder seguir mejorando, tiene aspectos personales de mejora, como la confianza en el, la seguridad de tomar decisiones, la falta de caracter cuando se complica una situación, no logra resolver conflictos por si solo, siempre busca la aprobación y apoyo de alguien mas.</t>
  </si>
  <si>
    <t>Jessica Amarilis Pérez Zepeta</t>
  </si>
  <si>
    <t>Atención al Cliente Rotativo</t>
  </si>
  <si>
    <t>3985 5005</t>
  </si>
  <si>
    <t>Reforzar el uso obligatorio de la guía de criterios en cada proceso. Mejorar la calidad y completitud en el registro de información. Fortalecer habilidades de comunicación y servicio al cliente, promoviendo una actitud más empática y colaborativa.</t>
  </si>
  <si>
    <t>41. CC Los Celajes, Quiché</t>
  </si>
  <si>
    <t>Arlen Nohemí Rivas Ramirez</t>
  </si>
  <si>
    <t>5201 1059</t>
  </si>
  <si>
    <t>Reforzar la capacitación en procesos paso a paso. Incentivar el uso constante de la guía de criterios. Fortalecer el conocimiento de productos y servicios mediante lectura y práctica. Trabajar en el manejo de nervios y confianza en la atención al asociado.</t>
  </si>
  <si>
    <t>Andres de Jesús Guerrero García</t>
  </si>
  <si>
    <t>3696 6699</t>
  </si>
  <si>
    <t>Inforne Induccion Operativa Andres Guerrero.pdf</t>
  </si>
  <si>
    <t>n/a</t>
  </si>
  <si>
    <t>El colaborador carece de actitud y voluntad de adaptacion e interes de aprendizaje, tiene dificultades para el uso de la herramienta Excel</t>
  </si>
  <si>
    <t>Abril</t>
  </si>
  <si>
    <t>Alondra Andrea Desideria Tziná Mendoza</t>
  </si>
  <si>
    <t>Auxiliar Operativo</t>
  </si>
  <si>
    <t xml:space="preserve">Infome Operativo </t>
  </si>
  <si>
    <t>Durante la semana de inducción especifica se logro visualizar que la compañera tiene iniciativa y compromiso en mejorar, a pesar de la falta de experencia en el área financiera pudo adaptarse de forma positiva a los procesos y poniendo en practica cada lineamiento que fue impartido, se recomienda que se pueda trabajar de manera mas directa para evitar errores operativos, ya que cuenta con el conocimiento teórico pero se pone nerviosa ante un situación que con lleve presión.</t>
  </si>
  <si>
    <t>Josué Otoniel Raquec Cujcuj</t>
  </si>
  <si>
    <t>Josue Otoniel Raquec Cujcuc.pdf</t>
  </si>
  <si>
    <t>El colaborador cuenta domina eficientemente tanto en la practica como en la teoria los aspectos relacionados a la politica de colocacion asi como los procesos a realizar para otorgar un credito, según lo evaluado se considera apto para desempeñar sus funciones sin limitaciones.</t>
  </si>
  <si>
    <t>00. Talento Humano - Rotativos</t>
  </si>
  <si>
    <t>Angélica María Quino Batz</t>
  </si>
  <si>
    <t>3827-5047</t>
  </si>
  <si>
    <t>La colaboradora ha presentado dificultades en la asimilación de conocimientos básicos operativos. Ha sido necesario reforzar en múltiples ocasiones temas relacionados con productos y servicios, evidenciando baja retención de la información. Se identifican brechas en el manejo de herramientas tecnológicas básicas; Durante la ejecución de actividades, presenta dificultades para mantener la concentración, lo que genera omisiones en los pasos de los procesos y la necesidad de acompañamiento constante. Se observa que ante la repetición de tareas o correcciones, la colaboradora muestra signos de frustración y nerviosismo, lo que puede afectar su disposición al aprendizaje.</t>
  </si>
  <si>
    <t>Roxana Candelaria Mejía Morales</t>
  </si>
  <si>
    <t xml:space="preserve">Informe Operativo </t>
  </si>
  <si>
    <t xml:space="preserve">Durante la semana de inducción especifica se logro visualizar que la compañera tiene iniciativa y compromiso en poder aprender todos los procesos de la cooperativa, se le ha complicado por motivo que carece de experencia en área financiera. Como recomendación poder trabajar toda transacción que pueda realizarse en cheque. Muestra interes en mejorar, apoya al equipo y sigue los procesos de la manera que se le indica. </t>
  </si>
  <si>
    <t>09. Yepocapa</t>
  </si>
  <si>
    <t>Cynthia Janeth Tejax Umul</t>
  </si>
  <si>
    <t>Durante la semana de inducción especifica se logro visualizar que la compañera tiene una gran confianza en ella misma, la experiencia que trae alimenta mucho al avance que ha tenido, es necesario tomar en cuenta que la información impartida durante la semana fue mucha la cual confundia mucho en los procesos, se recomienda que pueda trabajar bajo supervisión para poder ordenar los concepto y lineamientos de cada transacción</t>
  </si>
  <si>
    <t>08. San Martín</t>
  </si>
  <si>
    <t>Jonathán Josué Pastor García</t>
  </si>
  <si>
    <t>Jonathan Josue Pastor Garcia.pdf</t>
  </si>
  <si>
    <t>El colaborador posee un nivel aceptable en conocimientos practicos, tanto en trabajo de campo como en el uso del sistema, unicamente se le recomienda repasar la politica de creditos y mostrar compromiso de aprendizaje continuo.</t>
  </si>
  <si>
    <t>David Humberto Camey</t>
  </si>
  <si>
    <t>David Humberto Camey.pdf</t>
  </si>
  <si>
    <t>El colaborador logro un aprendizaje adecuado, domina aspectos teoricos y uso del sistema, asi como tambien del proceso en general de una solicitud de creditos tanto en armado de expediente como de metodologias de analisis para otorgar financiamiento.</t>
  </si>
  <si>
    <t>Nelson Joaquín García González</t>
  </si>
  <si>
    <t xml:space="preserve">INFORME DE INDUCCION </t>
  </si>
  <si>
    <t>Durante la semana de inducción especifica se logro visualizar que el compañero cuenta con la experiencia de poder trabajar en equipo, como tambien con las aptitudes correspondientes al puesto de Cajero General, cuenta con un nivel medio-alto de conocimientos practicos y teoricos sobre el sistema de Finansys, se le recomienda que pueda leer la guia de criterio, como las politicas y manuales que tiene la cooperativa, ya que cada uno de ellos es complementario para las diferentes transacciones en área de Caja</t>
  </si>
  <si>
    <t>21. Cerro de Oro</t>
  </si>
  <si>
    <t>Juanita Cecilia Pablo Mendoza</t>
  </si>
  <si>
    <t>INFORME INDUCCIÓN JUANITA PABLO</t>
  </si>
  <si>
    <t>La colaboradora presenta buen desempeño general, destacando en la atención al asociado y mostrando adecuada retención de conocimientos. Ejecuta correctamente las tareas con apoyo mínimo y alcanza un nivel de conocimiento aceptable, con oportunidad de mejora en tiempos de ejecución. Se recomienda reforzar su desarrollo mediante práctica en agencia para consolidar su desempeño.</t>
  </si>
  <si>
    <t>Lidia Aracely Sotz Perén</t>
  </si>
  <si>
    <t>Durante la semana de inducción operativa se logro visualizar que la compañera cuenta con las competencias y aptitudes para poder desempeñar de forma efeciente el puesto de Recepto Pagador, cuenta con experencia lo que contribuyo a la rapida adaptación del puesto como del Sistema Finansys, cuenta con un nivel alto de conocimiento téoricos y practicos del mismo, se recomienda leer la guia de criterio, conjuntamente con todos los manuales y politicas de la Cooperativa.</t>
  </si>
  <si>
    <t>Victor Santiago Xec Curup</t>
  </si>
  <si>
    <t>Victor Santiago Xec Curup.pdf</t>
  </si>
  <si>
    <t>Durante la semana se logro abarcar diferentes escenarios de tipos de creditos, por lo tanto el colaborador logro un avance adecuado en su aprendizaje para el desempeño de sus funciones.</t>
  </si>
  <si>
    <t>Desarrollo Sostenible</t>
  </si>
  <si>
    <t>Gladys Eunise Matzar Cumes</t>
  </si>
  <si>
    <t>Asesor Turistico</t>
  </si>
  <si>
    <t>Gladys Eunise Matzar Cumes.pdf</t>
  </si>
  <si>
    <t>Durante la semana de induccion operativa se le dio enfoque al un tipo de creditos especificamente la linea de microcreditos fiduciarios sin embargo se abarco temas generales de creditos en los cuales demostro interes y compromiso con el aprendizaje arrojando un resultado aceptable.</t>
  </si>
  <si>
    <t>Auxiliar Operativo (Atención al cliente)</t>
  </si>
  <si>
    <t>INFORME INDUCCION CYNTIA TUJAX</t>
  </si>
  <si>
    <t>La colaboradora ha presentado total asimilación de conocimientos básicos operativos. Maneja la información de temas relacionados con productos y servicios, evidenciando buen manejo de la información. En cuanto a la ejecución de actividades necesita un minimo de acompañamiento, muestra disposición para aprender y practicar las actividades asignadas; sin embargo, requiere fortalecer sus conocimientos en cuanto a los criterios para la consignación de información y la forma correcta de abordar las preguntas para los asociados, tanto como el manejo y las respuestas acertivas de las consultas.</t>
  </si>
  <si>
    <t>INFORME REINDUCCION ANGELICA QUINO</t>
  </si>
  <si>
    <t>Durante la semana de reinducción se evidencian avances en el conocimiento de cuentas y en temas que previamente no habían sido asimilados. No obstante, persisten dificultades en la retención de información y en la ejecución de procesos, ya que tiende a perder la secuencia y requiere acompañamiento constante. Asimismo, responde de forma apresurada, lo que genera errores, y al profundizar presenta vacíos en el conocimiento. En cuanto a hábitos de aprendizaje, se observa falta de enfoque en sesiones de refuerzo y limitada consulta directa con su tutora, recurriendo a otros compañeros para resolver dudas mejorar y es necesario mejorar su actitud ante la repetición de contenidos. Estas situaciones continúan impactando su desempeño.</t>
  </si>
  <si>
    <t>Mayo</t>
  </si>
  <si>
    <t>Puesto de ATC</t>
  </si>
  <si>
    <t>INFORME DE INDUCCIÓN</t>
  </si>
  <si>
    <t>Aún presenta oportunidades de mejora, ya que, pese a la experiencia en agencia, no demuestra dominio de los mismos, en la práctica se evidenciaba dificultad para aplicar los conceptos y continuidad en los procesos. Respecto al manejo de la guía de criterios, se efectuó lectura detallada y prácticas constantes; no obstante, la colaboradora no consulta la guía durante la ejecución y presenta dificultad en la comprensión y aplicación de la información leída. Asimismo, requiere fortalecer el criterio en la consignación de información, especialmente en las razones de RTU y recibos de servicio. Durante la semana también se presentaron situaciones que afectaron parcialmente el desarrollo de las prácticas. En uno de los días de inducción la colaboradora indicó molestias estomacales, las cuales limitaron la continuidad de los ejercicios prácticos. Adicionalmente, en dos ocasiones se observó cansancio y somnolencia durante la jornada de la tarde, evidenciándose pérdida de atención; por lo que fue necesario realizar cambios de actividad para mantenerla activa y enfocada en el proceso. Se observó también que no mantiene el hábito de tomar notas de los procesos impartidos, realizando repasos únicamente cuando se asignó como tarea trasladar los procedimientos a su cuaderno, aspecto que puede influir en la retención de información y ejecución correcta de las actividades. Como oportunidades de mejora, es importante que fortalezca: El conocimiento y dominio de productos y servicios. la comprensión y aplicación de la guía de criterios, los tiempos de ejecución de los procesos, la correcta aplicación del protocolo de atención, la escucha activa durante las explicaciones y prácticas para lo cual es necesario fomentar hábitos de estudio y repaso constante para lograr mayor seguridad en el desempeño de sus funciones.</t>
  </si>
  <si>
    <t>20. Zaragoza</t>
  </si>
  <si>
    <t>Elmer Alexander Pérez</t>
  </si>
  <si>
    <t>Informe Elmer Perez</t>
  </si>
  <si>
    <t>El colaborador demuestra interes en su aprendizaje, por lo que se logro avanzar en un porcentaje adecuado para contar con el conocimiento necesario para el desempeño de sus funciones.</t>
  </si>
  <si>
    <t>12. Quiché</t>
  </si>
  <si>
    <t>María Fernanda Villegas Mayén</t>
  </si>
  <si>
    <t>Informe Maria Fernanda</t>
  </si>
  <si>
    <t>Durante la semana de inducción operativa se logro visualizar que la compañera cuenta con las competencias y aptitudes para poder desempeñar de forma efeciente el puesto de Recepto Pagador, cuenta con experencia lo que contribuyo a la rapida adaptación del puesto como del Sistema Finansys, cuenta con un nivel medio de conocimiento téoricos y practicos del mismo.cabe resaltar que hay momentos donde se encuentra distraida y comenta que es por la situación que tiene dos nenas y las extrañaba, considero que es un tema a tomar en cuenta ya que en un futuro podria traer ciertas limitaciones en el espacio laboral.</t>
  </si>
  <si>
    <t>02. Tecpán</t>
  </si>
  <si>
    <t>Edwin Andres Socop Ramirez</t>
  </si>
  <si>
    <t>INFORME INDUCCION OPERATIVA</t>
  </si>
  <si>
    <t>00. Comercial</t>
  </si>
  <si>
    <t>Randy Alexis Galindo Rodas</t>
  </si>
  <si>
    <t>Gerente de Agencia Rotativo</t>
  </si>
  <si>
    <t>cambio de puesto</t>
  </si>
  <si>
    <t>Marco Antonio Ramírez López</t>
  </si>
  <si>
    <t xml:space="preserve">INFORME </t>
  </si>
  <si>
    <t>23. San Andrés Itzapa</t>
  </si>
  <si>
    <t>Dayani Agdalí Pichiyá Estrada</t>
  </si>
  <si>
    <t>Cipriano Alexander López Ixcoy</t>
  </si>
  <si>
    <t>Informe Cipriano Alexander López Ixcoy.pdf</t>
  </si>
  <si>
    <t>Junio</t>
  </si>
  <si>
    <t>35. Joyabaj</t>
  </si>
  <si>
    <t>Dámaris Celeste Urizar Pérez</t>
  </si>
  <si>
    <t>4221-4137</t>
  </si>
  <si>
    <t>Cambio de Puesto</t>
  </si>
  <si>
    <t>Widman Alfredo Sipac Pérez</t>
  </si>
  <si>
    <t>5197 3836</t>
  </si>
  <si>
    <t>Lucero Pérez Pablo</t>
  </si>
  <si>
    <t>4802-2675</t>
  </si>
  <si>
    <t>33. C.C. Metroplaza</t>
  </si>
  <si>
    <t>Emilio José Say Tacam</t>
  </si>
  <si>
    <t>5037-5067</t>
  </si>
  <si>
    <t>Emilio Jose Say Tacam.pdf</t>
  </si>
  <si>
    <t>43. Plaza Shanghai, Tecpán</t>
  </si>
  <si>
    <t>Lourdes Raquel Chumil Ajquijay</t>
  </si>
  <si>
    <t>Asistente de Créditos</t>
  </si>
  <si>
    <t>4640 7536</t>
  </si>
  <si>
    <t>Saraí Nohemí Perez Vasquez</t>
  </si>
  <si>
    <t>5977 1427</t>
  </si>
  <si>
    <t>Ana Cecilia Jerez Ovalle</t>
  </si>
  <si>
    <t>3033 4002</t>
  </si>
  <si>
    <t>José Alexander Batz Tepáz</t>
  </si>
  <si>
    <t>3211 0971</t>
  </si>
  <si>
    <t>Laura Marina Mejia Macario</t>
  </si>
  <si>
    <t>4775 5402</t>
  </si>
  <si>
    <t>Cristian Fernando Socop Colón</t>
  </si>
  <si>
    <t>5168 7438</t>
  </si>
  <si>
    <t>Jasmín Lucero Grave Hernandez</t>
  </si>
  <si>
    <t>5076 7511</t>
  </si>
  <si>
    <t>Jackeline Felipa Garcia Buc</t>
  </si>
  <si>
    <t>4884 7943</t>
  </si>
  <si>
    <t>Josué Manuel Parabal Cobox</t>
  </si>
  <si>
    <t>3865 2888</t>
  </si>
  <si>
    <t>Juan Lucio Guadalupe Cali Tesaguic</t>
  </si>
  <si>
    <t>4231 5777</t>
  </si>
  <si>
    <t>Edwin Abimael de Jesús Mateo Ventura</t>
  </si>
  <si>
    <t>3885 7952</t>
  </si>
  <si>
    <t>Leslie Juana Pérez González</t>
  </si>
  <si>
    <t>5062 5179</t>
  </si>
  <si>
    <t>01. Central Sololá</t>
  </si>
  <si>
    <t>Yarvin Andree Salazar Matheu</t>
  </si>
  <si>
    <t>5850 1845</t>
  </si>
  <si>
    <t>Marvin Adolfo Chajón</t>
  </si>
  <si>
    <t>5420 7117</t>
  </si>
  <si>
    <t>13. Chichicastenango</t>
  </si>
  <si>
    <t>Evelyn Elizabeth Morales Calel</t>
  </si>
  <si>
    <t>3382 0718</t>
  </si>
  <si>
    <t>Cambio de puesto</t>
  </si>
  <si>
    <t>32. Chuacruz Sololá</t>
  </si>
  <si>
    <t>Miriam Epifania Azucena Julisa Roquel Chiroy</t>
  </si>
  <si>
    <t>Totales</t>
  </si>
  <si>
    <t>Encargado</t>
  </si>
  <si>
    <t>Erick</t>
  </si>
  <si>
    <t>Jairo</t>
  </si>
  <si>
    <t>Erick/Merlin/Jairo</t>
  </si>
  <si>
    <t>Merlin</t>
  </si>
  <si>
    <t>Jairo / Merlin</t>
  </si>
  <si>
    <t>Erick / Merlin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</si>
</sst>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quot;-&quot;mmm&quot;-&quot;yy"/>
  </numFmts>
  <fonts count="14" x14ac:knownFonts="1">
    <font>
      <sz val="11"/>
      <color theme="1"/>
      <name val="Calibri"/>
      <family val="2"/>
      <scheme val="minor"/>
    </font>
    <font>
      <u/>
      <sz val="11"/>
      <color theme="10"/>
      <name val="Calibri"/>
      <family val="2"/>
      <scheme val="minor"/>
    </font>
    <font>
      <b/>
      <sz val="18"/>
      <color theme="0"/>
      <name val="Century Gothic"/>
    </font>
    <font>
      <sz val="11"/>
      <color theme="1"/>
      <name val="Century Gothic"/>
    </font>
    <font>
      <sz val="18"/>
      <color theme="1"/>
      <name val="Century Gothic"/>
    </font>
    <font>
      <sz val="18"/>
      <color rgb="FF000000"/>
      <name val="Century Gothic"/>
    </font>
    <font>
      <u/>
      <sz val="18"/>
      <color theme="10"/>
      <name val="Calibri"/>
      <family val="2"/>
      <scheme val="minor"/>
    </font>
    <font>
      <sz val="18"/>
      <color rgb="FF000000"/>
      <name val="Century Gothic"/>
      <family val="2"/>
    </font>
    <font>
      <sz val="18"/>
      <color rgb="FF000000"/>
      <name val="Century Gothic"/>
      <charset val="1"/>
    </font>
    <font>
      <sz val="18"/>
      <color rgb="FF000000"/>
      <name val="Century Gothic"/>
      <family val="2"/>
      <charset val="1"/>
    </font>
    <font>
      <sz val="18"/>
      <color theme="0"/>
      <name val="Century Gothic"/>
    </font>
    <font>
      <b/>
      <sz val="18"/>
      <color rgb="FF000000"/>
      <name val="Century Gothic"/>
    </font>
    <font>
      <b/>
      <sz val="18"/>
      <color theme="1"/>
      <name val="Century Gothic"/>
    </font>
    <font>
      <sz val="10"/>
      <color rgb="FF000000"/>
      <name val="Century Gothic"/>
    </font>
  </fonts>
  <fills count="7">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FFFFF"/>
        <bgColor rgb="FF000000"/>
      </patternFill>
    </fill>
    <fill>
      <patternFill patternType="solid">
        <fgColor rgb="FFFFFFFF"/>
        <bgColor rgb="FFFFFFFF"/>
      </patternFill>
    </fill>
    <fill>
      <patternFill patternType="solid">
        <fgColor rgb="FFFFFFFF"/>
        <bgColor indexed="64"/>
      </patternFill>
    </fill>
  </fills>
  <borders count="29">
    <border>
      <left/>
      <right/>
      <top/>
      <bottom/>
      <diagonal/>
    </border>
    <border>
      <left style="thin">
        <color theme="0"/>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indexed="64"/>
      </left>
      <right style="thin">
        <color indexed="64"/>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CCCCCC"/>
      </right>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000000"/>
      </top>
      <bottom style="thin">
        <color rgb="FFCCCCCC"/>
      </bottom>
      <diagonal/>
    </border>
    <border>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127">
    <xf numFmtId="0" fontId="0" fillId="0" borderId="0" xfId="0"/>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3" fillId="0" borderId="0" xfId="0" applyFont="1"/>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vertical="center" wrapText="1"/>
    </xf>
    <xf numFmtId="0" fontId="5" fillId="0" borderId="7" xfId="0" applyFont="1" applyBorder="1" applyAlignment="1">
      <alignment vertical="center" wrapText="1" readingOrder="1"/>
    </xf>
    <xf numFmtId="14" fontId="5" fillId="0" borderId="7" xfId="0" applyNumberFormat="1" applyFont="1" applyBorder="1" applyAlignment="1">
      <alignment horizontal="center" vertical="center" wrapText="1" readingOrder="1"/>
    </xf>
    <xf numFmtId="0" fontId="5" fillId="0" borderId="8" xfId="0" applyFont="1" applyBorder="1" applyAlignment="1">
      <alignment horizontal="center" vertical="center" wrapText="1" readingOrder="1"/>
    </xf>
    <xf numFmtId="0" fontId="5" fillId="0" borderId="9" xfId="0" applyFont="1" applyBorder="1" applyAlignment="1">
      <alignment horizontal="left" vertical="center" wrapText="1" readingOrder="1"/>
    </xf>
    <xf numFmtId="0" fontId="6" fillId="0" borderId="8" xfId="1" applyFont="1" applyBorder="1" applyAlignment="1">
      <alignment horizontal="left" wrapText="1"/>
    </xf>
    <xf numFmtId="0" fontId="6" fillId="0" borderId="0" xfId="1" applyFont="1" applyAlignment="1">
      <alignment horizontal="center" vertical="center" wrapText="1"/>
    </xf>
    <xf numFmtId="0" fontId="4" fillId="0" borderId="8" xfId="0" applyFont="1" applyBorder="1" applyAlignment="1">
      <alignment horizontal="center" vertical="center" wrapText="1"/>
    </xf>
    <xf numFmtId="1" fontId="4" fillId="0" borderId="10" xfId="0" applyNumberFormat="1" applyFont="1" applyBorder="1" applyAlignment="1">
      <alignment horizontal="center" vertical="center" wrapText="1"/>
    </xf>
    <xf numFmtId="0" fontId="4" fillId="0" borderId="11" xfId="0" applyFont="1" applyBorder="1" applyAlignment="1">
      <alignment vertical="center" wrapText="1"/>
    </xf>
    <xf numFmtId="0" fontId="4" fillId="0" borderId="8" xfId="0" applyFont="1" applyBorder="1" applyAlignment="1">
      <alignment vertical="center" wrapText="1"/>
    </xf>
    <xf numFmtId="0" fontId="7" fillId="0" borderId="7" xfId="0" applyFont="1" applyBorder="1" applyAlignment="1">
      <alignment horizontal="center" vertical="center" wrapText="1" readingOrder="1"/>
    </xf>
    <xf numFmtId="0" fontId="7" fillId="0" borderId="7" xfId="0" applyFont="1" applyBorder="1" applyAlignment="1">
      <alignment horizontal="left" vertical="center" wrapText="1" readingOrder="1"/>
    </xf>
    <xf numFmtId="0" fontId="6" fillId="0" borderId="9" xfId="1" applyFont="1" applyBorder="1" applyAlignment="1">
      <alignment horizontal="left" vertical="center" wrapText="1" readingOrder="1"/>
    </xf>
    <xf numFmtId="0" fontId="6" fillId="0" borderId="9" xfId="1" applyFont="1" applyBorder="1" applyAlignment="1">
      <alignment horizontal="center" vertical="center" wrapText="1" readingOrder="1"/>
    </xf>
    <xf numFmtId="0" fontId="4" fillId="0" borderId="9" xfId="0" applyFont="1" applyBorder="1" applyAlignment="1">
      <alignment vertical="center" wrapText="1"/>
    </xf>
    <xf numFmtId="0" fontId="4" fillId="0" borderId="8" xfId="0" applyFont="1" applyBorder="1" applyAlignment="1">
      <alignment vertical="top" wrapText="1"/>
    </xf>
    <xf numFmtId="0" fontId="5" fillId="0" borderId="8" xfId="0" applyFont="1" applyBorder="1" applyAlignment="1">
      <alignment horizontal="left" vertical="center" wrapText="1" readingOrder="1"/>
    </xf>
    <xf numFmtId="0" fontId="5" fillId="0" borderId="9" xfId="0" applyFont="1" applyBorder="1" applyAlignment="1">
      <alignment horizontal="center" vertical="center" wrapText="1" readingOrder="1"/>
    </xf>
    <xf numFmtId="0" fontId="6" fillId="0" borderId="12" xfId="1" applyFont="1" applyBorder="1" applyAlignment="1">
      <alignment horizontal="left" vertical="center" wrapText="1" readingOrder="1"/>
    </xf>
    <xf numFmtId="0" fontId="7" fillId="0" borderId="12" xfId="0" applyFont="1" applyBorder="1" applyAlignment="1">
      <alignment horizontal="left" vertical="center" wrapText="1" readingOrder="1"/>
    </xf>
    <xf numFmtId="0" fontId="6" fillId="0" borderId="8" xfId="1" applyFont="1" applyBorder="1" applyAlignment="1">
      <alignment horizontal="left" vertical="center" wrapText="1" readingOrder="1"/>
    </xf>
    <xf numFmtId="1" fontId="4" fillId="0" borderId="8" xfId="0" applyNumberFormat="1" applyFont="1" applyBorder="1" applyAlignment="1">
      <alignment horizontal="center" vertical="center" wrapText="1"/>
    </xf>
    <xf numFmtId="0" fontId="5" fillId="3" borderId="7" xfId="0" applyFont="1" applyFill="1" applyBorder="1" applyAlignment="1">
      <alignment horizontal="center" vertical="center" wrapText="1" readingOrder="1"/>
    </xf>
    <xf numFmtId="0" fontId="4" fillId="3" borderId="7" xfId="0" applyFont="1" applyFill="1" applyBorder="1" applyAlignment="1">
      <alignment horizontal="center" vertical="center" wrapText="1"/>
    </xf>
    <xf numFmtId="0" fontId="4" fillId="0" borderId="7" xfId="0" applyFont="1" applyBorder="1" applyAlignment="1">
      <alignment horizontal="center" vertical="center" wrapText="1"/>
    </xf>
    <xf numFmtId="1" fontId="4" fillId="0" borderId="7" xfId="0" applyNumberFormat="1" applyFont="1" applyBorder="1" applyAlignment="1">
      <alignment horizontal="center" vertical="center" wrapText="1"/>
    </xf>
    <xf numFmtId="0" fontId="6" fillId="0" borderId="13" xfId="1" applyFont="1" applyBorder="1" applyAlignment="1">
      <alignment horizontal="center" vertical="center" wrapText="1" readingOrder="1"/>
    </xf>
    <xf numFmtId="0" fontId="5" fillId="0" borderId="14" xfId="0" applyFont="1" applyBorder="1" applyAlignment="1">
      <alignment vertical="center" wrapText="1" readingOrder="1"/>
    </xf>
    <xf numFmtId="14" fontId="5" fillId="0" borderId="8" xfId="0" applyNumberFormat="1" applyFont="1" applyBorder="1" applyAlignment="1">
      <alignment horizontal="center" vertical="center" wrapText="1" readingOrder="1"/>
    </xf>
    <xf numFmtId="0" fontId="7" fillId="4" borderId="15" xfId="0" applyFont="1" applyFill="1" applyBorder="1" applyAlignment="1">
      <alignment horizontal="center" vertical="center" wrapText="1" readingOrder="1"/>
    </xf>
    <xf numFmtId="0" fontId="5" fillId="3" borderId="16" xfId="0" applyFont="1" applyFill="1" applyBorder="1" applyAlignment="1">
      <alignment horizontal="center" vertical="center" wrapText="1" readingOrder="1"/>
    </xf>
    <xf numFmtId="0" fontId="4" fillId="3" borderId="8" xfId="0" applyFont="1" applyFill="1" applyBorder="1" applyAlignment="1">
      <alignment horizontal="center" vertical="center" wrapText="1"/>
    </xf>
    <xf numFmtId="0" fontId="5" fillId="0" borderId="17" xfId="0" applyFont="1" applyBorder="1" applyAlignment="1">
      <alignment vertical="center" wrapText="1" readingOrder="1"/>
    </xf>
    <xf numFmtId="0" fontId="7" fillId="4" borderId="18" xfId="0" applyFont="1" applyFill="1" applyBorder="1" applyAlignment="1">
      <alignment horizontal="center" vertical="center" wrapText="1" readingOrder="1"/>
    </xf>
    <xf numFmtId="0" fontId="5" fillId="0" borderId="16" xfId="0" applyFont="1" applyBorder="1" applyAlignment="1">
      <alignment horizontal="center" vertical="center" wrapText="1" readingOrder="1"/>
    </xf>
    <xf numFmtId="0" fontId="6" fillId="0" borderId="10" xfId="1" applyFont="1" applyBorder="1" applyAlignment="1">
      <alignment horizontal="left" vertical="center" wrapText="1" readingOrder="1"/>
    </xf>
    <xf numFmtId="0" fontId="5" fillId="3" borderId="8" xfId="0" applyFont="1" applyFill="1" applyBorder="1" applyAlignment="1">
      <alignment horizontal="center" vertical="center" wrapText="1" readingOrder="1"/>
    </xf>
    <xf numFmtId="0" fontId="5" fillId="0" borderId="7" xfId="0" applyFont="1" applyBorder="1" applyAlignment="1">
      <alignment horizontal="center" vertical="center" wrapText="1" readingOrder="1"/>
    </xf>
    <xf numFmtId="0" fontId="5" fillId="0" borderId="19" xfId="0" applyFont="1" applyBorder="1" applyAlignment="1">
      <alignment vertical="center" wrapText="1" readingOrder="1"/>
    </xf>
    <xf numFmtId="0" fontId="7" fillId="4" borderId="20" xfId="0" applyFont="1" applyFill="1" applyBorder="1" applyAlignment="1">
      <alignment horizontal="center" vertical="center" wrapText="1" readingOrder="1"/>
    </xf>
    <xf numFmtId="0" fontId="5" fillId="0" borderId="7" xfId="0" applyFont="1" applyBorder="1" applyAlignment="1">
      <alignment horizontal="left" vertical="center" wrapText="1" readingOrder="1"/>
    </xf>
    <xf numFmtId="0" fontId="6" fillId="0" borderId="7" xfId="1" applyFont="1" applyBorder="1" applyAlignment="1">
      <alignment horizontal="left" vertical="center" wrapText="1" readingOrder="1"/>
    </xf>
    <xf numFmtId="1" fontId="4" fillId="0" borderId="19" xfId="0" applyNumberFormat="1" applyFont="1" applyBorder="1" applyAlignment="1">
      <alignment horizontal="center" vertical="center" wrapText="1"/>
    </xf>
    <xf numFmtId="0" fontId="4" fillId="0" borderId="12" xfId="0" applyFont="1" applyBorder="1" applyAlignment="1">
      <alignment vertical="center" wrapText="1"/>
    </xf>
    <xf numFmtId="0" fontId="5" fillId="0" borderId="8" xfId="0" applyFont="1" applyBorder="1" applyAlignment="1">
      <alignment vertical="center" wrapText="1" readingOrder="1"/>
    </xf>
    <xf numFmtId="0" fontId="7" fillId="4" borderId="8" xfId="0" applyFont="1" applyFill="1" applyBorder="1" applyAlignment="1">
      <alignment horizontal="center" vertical="center" wrapText="1" readingOrder="1"/>
    </xf>
    <xf numFmtId="0" fontId="6" fillId="0" borderId="8" xfId="1" applyFont="1" applyBorder="1" applyAlignment="1">
      <alignment horizontal="left" vertical="center" wrapText="1"/>
    </xf>
    <xf numFmtId="0" fontId="4" fillId="0" borderId="16" xfId="0" applyFont="1" applyBorder="1" applyAlignment="1">
      <alignment vertical="center" wrapText="1"/>
    </xf>
    <xf numFmtId="0" fontId="4" fillId="5" borderId="7" xfId="0" applyFont="1" applyFill="1" applyBorder="1" applyAlignment="1">
      <alignment vertical="center" wrapText="1"/>
    </xf>
    <xf numFmtId="0" fontId="5" fillId="5" borderId="8" xfId="0" applyFont="1" applyFill="1" applyBorder="1" applyAlignment="1">
      <alignment vertical="center" wrapText="1"/>
    </xf>
    <xf numFmtId="0" fontId="4" fillId="6" borderId="8" xfId="0" applyFont="1" applyFill="1" applyBorder="1" applyAlignment="1">
      <alignment horizontal="left" vertical="center" wrapText="1"/>
    </xf>
    <xf numFmtId="164" fontId="4" fillId="5" borderId="8" xfId="0" applyNumberFormat="1" applyFont="1" applyFill="1" applyBorder="1" applyAlignment="1">
      <alignment horizontal="center" vertical="center" wrapText="1"/>
    </xf>
    <xf numFmtId="0" fontId="5" fillId="4" borderId="8" xfId="0" applyFont="1" applyFill="1" applyBorder="1" applyAlignment="1">
      <alignment horizontal="center" vertical="center" wrapText="1" readingOrder="1"/>
    </xf>
    <xf numFmtId="0" fontId="4" fillId="5" borderId="8" xfId="0" applyFont="1" applyFill="1" applyBorder="1" applyAlignment="1">
      <alignment vertical="center" wrapText="1"/>
    </xf>
    <xf numFmtId="0" fontId="5" fillId="5" borderId="21" xfId="0" applyFont="1" applyFill="1" applyBorder="1" applyAlignment="1">
      <alignment vertical="center" wrapText="1"/>
    </xf>
    <xf numFmtId="0" fontId="4" fillId="6" borderId="10" xfId="0" applyFont="1" applyFill="1" applyBorder="1" applyAlignment="1">
      <alignment horizontal="left" vertical="center" wrapText="1"/>
    </xf>
    <xf numFmtId="164" fontId="4" fillId="5" borderId="22" xfId="0" applyNumberFormat="1" applyFont="1" applyFill="1" applyBorder="1" applyAlignment="1">
      <alignment horizontal="center" vertical="center" wrapText="1"/>
    </xf>
    <xf numFmtId="0" fontId="5" fillId="4" borderId="10" xfId="0" applyFont="1" applyFill="1" applyBorder="1" applyAlignment="1">
      <alignment horizontal="center" vertical="center" wrapText="1" readingOrder="1"/>
    </xf>
    <xf numFmtId="0" fontId="5" fillId="0" borderId="10" xfId="0" applyFont="1" applyBorder="1" applyAlignment="1">
      <alignment horizontal="left" vertical="center" wrapText="1" readingOrder="1"/>
    </xf>
    <xf numFmtId="0" fontId="6" fillId="0" borderId="0" xfId="1" applyFont="1" applyAlignment="1">
      <alignment horizontal="left" vertical="center" wrapText="1"/>
    </xf>
    <xf numFmtId="0" fontId="5" fillId="0" borderId="10" xfId="0" applyFont="1" applyBorder="1" applyAlignment="1">
      <alignment horizontal="center" vertical="center" wrapText="1" readingOrder="1"/>
    </xf>
    <xf numFmtId="0" fontId="4" fillId="0" borderId="10" xfId="0" applyFont="1" applyBorder="1" applyAlignment="1">
      <alignment horizontal="center" vertical="center" wrapText="1"/>
    </xf>
    <xf numFmtId="0" fontId="4" fillId="0" borderId="10" xfId="0" applyFont="1" applyBorder="1" applyAlignment="1">
      <alignment vertical="center" wrapText="1"/>
    </xf>
    <xf numFmtId="0" fontId="8" fillId="6" borderId="23" xfId="0" applyFont="1" applyFill="1" applyBorder="1" applyAlignment="1">
      <alignment wrapText="1" readingOrder="1"/>
    </xf>
    <xf numFmtId="0" fontId="8" fillId="6" borderId="9" xfId="0" applyFont="1" applyFill="1" applyBorder="1" applyAlignment="1">
      <alignment wrapText="1" readingOrder="1"/>
    </xf>
    <xf numFmtId="0" fontId="8" fillId="6" borderId="8" xfId="0" applyFont="1" applyFill="1" applyBorder="1" applyAlignment="1">
      <alignment wrapText="1" readingOrder="1"/>
    </xf>
    <xf numFmtId="164" fontId="4" fillId="5" borderId="16" xfId="0" applyNumberFormat="1" applyFont="1" applyFill="1" applyBorder="1" applyAlignment="1">
      <alignment horizontal="center" vertical="center" wrapText="1"/>
    </xf>
    <xf numFmtId="0" fontId="8" fillId="6" borderId="24" xfId="0" applyFont="1" applyFill="1" applyBorder="1" applyAlignment="1">
      <alignment wrapText="1" readingOrder="1"/>
    </xf>
    <xf numFmtId="0" fontId="8" fillId="6" borderId="25" xfId="0" applyFont="1" applyFill="1" applyBorder="1" applyAlignment="1">
      <alignment wrapText="1" readingOrder="1"/>
    </xf>
    <xf numFmtId="0" fontId="8" fillId="6" borderId="26" xfId="0" applyFont="1" applyFill="1" applyBorder="1" applyAlignment="1">
      <alignment wrapText="1" readingOrder="1"/>
    </xf>
    <xf numFmtId="0" fontId="8" fillId="6" borderId="9" xfId="0" applyFont="1" applyFill="1" applyBorder="1" applyAlignment="1">
      <alignment horizontal="left" vertical="center" wrapText="1" readingOrder="1"/>
    </xf>
    <xf numFmtId="0" fontId="8" fillId="6" borderId="8" xfId="0" applyFont="1" applyFill="1" applyBorder="1" applyAlignment="1">
      <alignment horizontal="left" vertical="center" wrapText="1" readingOrder="1"/>
    </xf>
    <xf numFmtId="0" fontId="5" fillId="5" borderId="9" xfId="0" applyFont="1" applyFill="1" applyBorder="1" applyAlignment="1">
      <alignment vertical="center" wrapText="1"/>
    </xf>
    <xf numFmtId="0" fontId="4" fillId="0" borderId="8" xfId="0" applyFont="1" applyBorder="1" applyAlignment="1">
      <alignment horizontal="left" vertical="center" wrapText="1"/>
    </xf>
    <xf numFmtId="0" fontId="5" fillId="4" borderId="8" xfId="0" applyFont="1" applyFill="1" applyBorder="1" applyAlignment="1">
      <alignment vertical="center" wrapText="1" readingOrder="1"/>
    </xf>
    <xf numFmtId="0" fontId="5" fillId="4" borderId="8" xfId="0" applyFont="1" applyFill="1" applyBorder="1" applyAlignment="1">
      <alignment wrapText="1" readingOrder="1"/>
    </xf>
    <xf numFmtId="0" fontId="6" fillId="0" borderId="0" xfId="1" applyFont="1" applyFill="1" applyAlignment="1">
      <alignment horizontal="center" vertical="center" wrapText="1"/>
    </xf>
    <xf numFmtId="164" fontId="4" fillId="5" borderId="7" xfId="0" applyNumberFormat="1" applyFont="1" applyFill="1" applyBorder="1" applyAlignment="1">
      <alignment horizontal="center" vertical="center" wrapText="1"/>
    </xf>
    <xf numFmtId="0" fontId="8" fillId="6" borderId="25" xfId="0" applyFont="1" applyFill="1" applyBorder="1" applyAlignment="1">
      <alignment horizontal="left" vertical="center" wrapText="1" readingOrder="1"/>
    </xf>
    <xf numFmtId="0" fontId="5" fillId="5" borderId="7" xfId="0" applyFont="1" applyFill="1" applyBorder="1" applyAlignment="1">
      <alignment vertical="center" wrapText="1" readingOrder="1"/>
    </xf>
    <xf numFmtId="14" fontId="5" fillId="5" borderId="7" xfId="0" applyNumberFormat="1" applyFont="1" applyFill="1" applyBorder="1" applyAlignment="1">
      <alignment horizontal="center" vertical="center" wrapText="1" readingOrder="1"/>
    </xf>
    <xf numFmtId="0" fontId="8" fillId="6" borderId="27" xfId="0" applyFont="1" applyFill="1" applyBorder="1" applyAlignment="1">
      <alignment horizontal="left" vertical="center" wrapText="1" readingOrder="1"/>
    </xf>
    <xf numFmtId="0" fontId="5" fillId="0" borderId="8" xfId="1" applyFont="1" applyBorder="1" applyAlignment="1">
      <alignment horizontal="left" vertical="center" wrapText="1" readingOrder="1"/>
    </xf>
    <xf numFmtId="0" fontId="5" fillId="6" borderId="7" xfId="0" applyFont="1" applyFill="1" applyBorder="1" applyAlignment="1">
      <alignment vertical="center" wrapText="1" readingOrder="1"/>
    </xf>
    <xf numFmtId="0" fontId="5" fillId="5" borderId="7" xfId="0" applyFont="1" applyFill="1" applyBorder="1" applyAlignment="1">
      <alignment horizontal="left" vertical="center" wrapText="1" readingOrder="1"/>
    </xf>
    <xf numFmtId="0" fontId="9" fillId="6" borderId="8" xfId="0" applyFont="1" applyFill="1" applyBorder="1" applyAlignment="1">
      <alignment vertical="center" wrapText="1" readingOrder="1"/>
    </xf>
    <xf numFmtId="0" fontId="8" fillId="6" borderId="8" xfId="0" applyFont="1" applyFill="1" applyBorder="1" applyAlignment="1">
      <alignment vertical="center" wrapText="1" readingOrder="1"/>
    </xf>
    <xf numFmtId="0" fontId="5" fillId="4" borderId="9" xfId="0" applyFont="1" applyFill="1" applyBorder="1" applyAlignment="1">
      <alignment horizontal="center" vertical="center" wrapText="1" readingOrder="1"/>
    </xf>
    <xf numFmtId="0" fontId="5" fillId="0" borderId="16" xfId="0" applyFont="1" applyBorder="1" applyAlignment="1">
      <alignment horizontal="left" vertical="center" wrapText="1" readingOrder="1"/>
    </xf>
    <xf numFmtId="0" fontId="4" fillId="5" borderId="7" xfId="0" applyFont="1" applyFill="1" applyBorder="1" applyAlignment="1">
      <alignment horizontal="left" vertical="center" wrapText="1"/>
    </xf>
    <xf numFmtId="0" fontId="5" fillId="0" borderId="16" xfId="1" applyFont="1" applyBorder="1" applyAlignment="1">
      <alignment horizontal="left" vertical="center" wrapText="1" readingOrder="1"/>
    </xf>
    <xf numFmtId="0" fontId="4" fillId="0" borderId="8" xfId="0" applyFont="1" applyBorder="1" applyAlignment="1">
      <alignment vertical="center" wrapText="1"/>
    </xf>
    <xf numFmtId="0" fontId="9" fillId="0" borderId="7" xfId="0" applyFont="1" applyBorder="1" applyAlignment="1">
      <alignment horizontal="left" vertical="center" wrapText="1"/>
    </xf>
    <xf numFmtId="2" fontId="4" fillId="0" borderId="8" xfId="0" applyNumberFormat="1" applyFont="1" applyBorder="1" applyAlignment="1">
      <alignment horizontal="center" vertical="center" wrapText="1"/>
    </xf>
    <xf numFmtId="0" fontId="10" fillId="2" borderId="21" xfId="0" applyFont="1" applyFill="1" applyBorder="1" applyAlignment="1">
      <alignment horizontal="center" vertical="center" wrapText="1"/>
    </xf>
    <xf numFmtId="0" fontId="10" fillId="2" borderId="21" xfId="0" applyFont="1" applyFill="1" applyBorder="1" applyAlignment="1">
      <alignment vertical="center" wrapText="1"/>
    </xf>
    <xf numFmtId="0" fontId="10" fillId="2" borderId="21" xfId="0" applyFont="1" applyFill="1" applyBorder="1" applyAlignment="1">
      <alignment vertical="center" wrapText="1" readingOrder="1"/>
    </xf>
    <xf numFmtId="0" fontId="2" fillId="2" borderId="21" xfId="0" applyFont="1" applyFill="1" applyBorder="1" applyAlignment="1">
      <alignment vertical="center" wrapText="1" readingOrder="1"/>
    </xf>
    <xf numFmtId="14" fontId="10" fillId="2" borderId="21" xfId="0" applyNumberFormat="1" applyFont="1" applyFill="1" applyBorder="1" applyAlignment="1">
      <alignment horizontal="center" vertical="center" wrapText="1" readingOrder="1"/>
    </xf>
    <xf numFmtId="0" fontId="10" fillId="2" borderId="21" xfId="0" applyFont="1" applyFill="1" applyBorder="1" applyAlignment="1">
      <alignment horizontal="center" vertical="center" wrapText="1" readingOrder="1"/>
    </xf>
    <xf numFmtId="0" fontId="10" fillId="2" borderId="21" xfId="0" applyFont="1" applyFill="1" applyBorder="1" applyAlignment="1">
      <alignment horizontal="left" vertical="center" wrapText="1" readingOrder="1"/>
    </xf>
    <xf numFmtId="1" fontId="11" fillId="0" borderId="28" xfId="0" applyNumberFormat="1" applyFont="1" applyBorder="1" applyAlignment="1">
      <alignment horizontal="center" vertical="center" wrapText="1" readingOrder="1"/>
    </xf>
    <xf numFmtId="1" fontId="12" fillId="0" borderId="19" xfId="0" applyNumberFormat="1" applyFont="1" applyBorder="1" applyAlignment="1">
      <alignment horizontal="center" vertical="center" wrapText="1"/>
    </xf>
    <xf numFmtId="1" fontId="12" fillId="0" borderId="10" xfId="0" applyNumberFormat="1" applyFont="1" applyBorder="1" applyAlignment="1">
      <alignment horizontal="center" vertical="center" wrapText="1"/>
    </xf>
    <xf numFmtId="0" fontId="4" fillId="0" borderId="19" xfId="0" applyFont="1" applyBorder="1" applyAlignment="1">
      <alignment vertical="center" wrapText="1"/>
    </xf>
    <xf numFmtId="0" fontId="4" fillId="0" borderId="0" xfId="0" applyFont="1" applyAlignment="1">
      <alignment vertical="center" wrapText="1"/>
    </xf>
    <xf numFmtId="0" fontId="4" fillId="0" borderId="0" xfId="0" applyFont="1" applyAlignment="1">
      <alignment wrapText="1"/>
    </xf>
    <xf numFmtId="14" fontId="5" fillId="5" borderId="12" xfId="0" applyNumberFormat="1" applyFont="1" applyFill="1" applyBorder="1" applyAlignment="1">
      <alignment horizontal="center" vertical="center" wrapText="1" readingOrder="1"/>
    </xf>
    <xf numFmtId="14" fontId="13" fillId="0" borderId="7" xfId="0" applyNumberFormat="1" applyFont="1" applyBorder="1" applyAlignment="1">
      <alignment horizontal="center" vertical="center" readingOrder="1"/>
    </xf>
    <xf numFmtId="14" fontId="13" fillId="0" borderId="0" xfId="0" applyNumberFormat="1" applyFont="1" applyAlignment="1">
      <alignment horizontal="center" vertical="center" readingOrder="1"/>
    </xf>
    <xf numFmtId="14" fontId="13" fillId="0" borderId="8" xfId="0" applyNumberFormat="1" applyFont="1" applyBorder="1" applyAlignment="1">
      <alignment horizontal="center" vertical="center" readingOrder="1"/>
    </xf>
    <xf numFmtId="164" fontId="3" fillId="5" borderId="8" xfId="0" applyNumberFormat="1" applyFont="1" applyFill="1" applyBorder="1" applyAlignment="1">
      <alignment horizontal="center" vertical="center" wrapText="1"/>
    </xf>
    <xf numFmtId="164" fontId="3" fillId="5" borderId="22" xfId="0" applyNumberFormat="1" applyFont="1" applyFill="1" applyBorder="1" applyAlignment="1">
      <alignment horizontal="center" vertical="center" wrapText="1"/>
    </xf>
    <xf numFmtId="164" fontId="3" fillId="5" borderId="16" xfId="0" applyNumberFormat="1" applyFont="1" applyFill="1" applyBorder="1" applyAlignment="1">
      <alignment horizontal="center" vertical="center" wrapText="1"/>
    </xf>
    <xf numFmtId="164" fontId="3" fillId="5" borderId="7" xfId="0" applyNumberFormat="1" applyFont="1" applyFill="1" applyBorder="1" applyAlignment="1">
      <alignment horizontal="center" vertical="center" wrapText="1"/>
    </xf>
    <xf numFmtId="14" fontId="13" fillId="5" borderId="7" xfId="0" applyNumberFormat="1" applyFont="1" applyFill="1" applyBorder="1" applyAlignment="1">
      <alignment horizontal="center" vertical="center" readingOrder="1"/>
    </xf>
    <xf numFmtId="14" fontId="13" fillId="5" borderId="12" xfId="0" applyNumberFormat="1" applyFont="1" applyFill="1" applyBorder="1" applyAlignment="1">
      <alignment horizontal="center" vertical="center" readingOrder="1"/>
    </xf>
  </cellXfs>
  <cellStyles count="2">
    <cellStyle name="Hyperlink" xfId="1" xr:uid="{5E886141-2521-4623-AC81-0835F7AEBC78}"/>
    <cellStyle name="Normal" xfId="0" builtinId="0"/>
  </cellStyles>
  <dxfs count="35">
    <dxf>
      <fill>
        <patternFill patternType="solid">
          <bgColor rgb="FFFFFF00"/>
        </patternFill>
      </fill>
    </dxf>
    <dxf>
      <font>
        <color theme="0"/>
      </font>
      <fill>
        <patternFill patternType="solid">
          <bgColor theme="9" tint="-0.499984740745262"/>
        </patternFill>
      </fill>
    </dxf>
    <dxf>
      <fill>
        <patternFill patternType="solid">
          <bgColor rgb="FFFF0000"/>
        </patternFill>
      </fill>
    </dxf>
    <dxf>
      <font>
        <color theme="1"/>
      </font>
      <fill>
        <patternFill patternType="solid">
          <bgColor rgb="FFD296FF"/>
        </patternFill>
      </fill>
    </dxf>
    <dxf>
      <font>
        <color theme="0"/>
      </font>
      <fill>
        <patternFill patternType="solid">
          <bgColor theme="4" tint="-0.249977111117893"/>
        </patternFill>
      </fill>
    </dxf>
    <dxf>
      <font>
        <color theme="1"/>
      </font>
      <fill>
        <patternFill patternType="solid">
          <bgColor rgb="FFFFE7A1"/>
        </patternFill>
      </fill>
    </dxf>
    <dxf>
      <font>
        <color rgb="FF006100"/>
      </font>
      <fill>
        <patternFill>
          <bgColor rgb="FFC6EFCE"/>
        </patternFill>
      </fill>
    </dxf>
    <dxf>
      <fill>
        <patternFill patternType="solid">
          <bgColor rgb="FFFFFF00"/>
        </patternFill>
      </fill>
    </dxf>
    <dxf>
      <font>
        <color theme="0"/>
      </font>
      <fill>
        <patternFill patternType="solid">
          <bgColor theme="9" tint="-0.499984740745262"/>
        </patternFill>
      </fill>
    </dxf>
    <dxf>
      <fill>
        <patternFill patternType="solid">
          <bgColor rgb="FFFF0000"/>
        </patternFill>
      </fill>
    </dxf>
    <dxf>
      <font>
        <color theme="1"/>
      </font>
      <fill>
        <patternFill patternType="solid">
          <bgColor rgb="FFD296FF"/>
        </patternFill>
      </fill>
    </dxf>
    <dxf>
      <font>
        <color theme="0"/>
      </font>
      <fill>
        <patternFill patternType="solid">
          <bgColor theme="4" tint="-0.249977111117893"/>
        </patternFill>
      </fill>
    </dxf>
    <dxf>
      <font>
        <color theme="1"/>
      </font>
      <fill>
        <patternFill patternType="solid">
          <bgColor rgb="FFFFE7A1"/>
        </patternFill>
      </fill>
    </dxf>
    <dxf>
      <font>
        <color rgb="FF006100"/>
      </font>
      <fill>
        <patternFill>
          <bgColor rgb="FFC6EFCE"/>
        </patternFill>
      </fill>
    </dxf>
    <dxf>
      <font>
        <b val="0"/>
        <i val="0"/>
        <strike val="0"/>
        <condense val="0"/>
        <extend val="0"/>
        <outline val="0"/>
        <shadow val="0"/>
        <u val="none"/>
        <vertAlign val="baseline"/>
        <sz val="18"/>
        <color rgb="FF000000"/>
        <name val="Century Gothic"/>
        <scheme val="none"/>
      </font>
      <numFmt numFmtId="19" formatCode="dd/mm/yyyy"/>
      <fill>
        <patternFill patternType="solid">
          <fgColor rgb="FFFFFFFF"/>
          <bgColor rgb="FFFFFFFF"/>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8"/>
        <color theme="1"/>
        <name val="Century Gothic"/>
        <scheme val="none"/>
      </font>
      <fill>
        <patternFill patternType="none">
          <fgColor indexed="64"/>
          <bgColor theme="8" tint="0.5999938962981048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8"/>
        <color theme="1"/>
        <name val="Century Gothic"/>
        <scheme val="none"/>
      </font>
      <fill>
        <patternFill patternType="none">
          <fgColor indexed="64"/>
          <bgColor theme="8" tint="0.5999938962981048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8"/>
        <color theme="1"/>
        <name val="Century Gothic"/>
        <scheme val="none"/>
      </font>
      <numFmt numFmtId="1" formatCode="0"/>
      <fill>
        <patternFill patternType="none">
          <fgColor indexed="64"/>
          <bgColor theme="8" tint="0.5999938962981048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8"/>
        <color theme="1"/>
        <name val="Century Gothic"/>
        <scheme val="none"/>
      </font>
      <fill>
        <patternFill patternType="none">
          <fgColor indexed="64"/>
          <bgColor theme="8" tint="0.5999938962981048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8"/>
        <color theme="1"/>
        <name val="Century Gothic"/>
        <scheme val="none"/>
      </font>
      <fill>
        <patternFill patternType="none">
          <fgColor indexed="64"/>
          <bgColor theme="8" tint="0.5999938962981048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8"/>
        <color rgb="FF000000"/>
        <name val="Century Gothic"/>
        <scheme val="none"/>
      </font>
      <alignment horizontal="left"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8"/>
        <color rgb="FF000000"/>
        <name val="Century Gothic"/>
        <scheme val="none"/>
      </font>
      <alignment horizontal="left"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8"/>
        <color rgb="FF000000"/>
        <name val="Century Gothic"/>
        <scheme val="none"/>
      </font>
      <alignment horizontal="left"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8"/>
        <color rgb="FF000000"/>
        <name val="Century Gothic"/>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8"/>
        <color rgb="FF000000"/>
        <name val="Century Gothic"/>
        <scheme val="none"/>
      </font>
      <numFmt numFmtId="19" formatCode="dd/mm/yyyy"/>
      <alignment horizontal="center" vertical="center" textRotation="0" wrapText="1" indent="0" justifyLastLine="0" shrinkToFit="0" readingOrder="1"/>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8"/>
        <color rgb="FF000000"/>
        <name val="Century Gothic"/>
        <scheme val="none"/>
      </font>
      <alignment horizontal="general" vertical="center" textRotation="0" wrapText="1" indent="0" justifyLastLine="0" shrinkToFit="0" readingOrder="1"/>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8"/>
        <color rgb="FF000000"/>
        <name val="Century Gothic"/>
        <scheme val="none"/>
      </font>
      <alignment horizontal="general" vertical="center" textRotation="0" wrapText="1" indent="0" justifyLastLine="0" shrinkToFit="0" readingOrder="1"/>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8"/>
        <color rgb="FF000000"/>
        <name val="Century Gothic"/>
        <scheme val="none"/>
      </font>
      <alignment horizontal="general" vertical="center" textRotation="0" wrapText="1" indent="0" justifyLastLine="0" shrinkToFit="0" readingOrder="1"/>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8"/>
        <color theme="1"/>
        <name val="Century Gothic"/>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8"/>
        <color theme="1"/>
        <name val="Century Gothic"/>
        <scheme val="none"/>
      </font>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outline="0">
        <top style="thin">
          <color rgb="FF000000"/>
        </top>
      </border>
    </dxf>
    <dxf>
      <border>
        <bottom style="thin">
          <color theme="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8"/>
        <color theme="1"/>
        <name val="Century Gothic"/>
        <scheme val="none"/>
      </font>
      <fill>
        <patternFill patternType="solid">
          <fgColor indexed="64"/>
          <bgColor theme="8" tint="0.59999389629810485"/>
        </patternFill>
      </fill>
      <alignment horizontal="general" vertical="center" textRotation="0" wrapText="1" indent="0" justifyLastLine="0" shrinkToFit="0" readingOrder="0"/>
    </dxf>
    <dxf>
      <font>
        <b/>
        <i val="0"/>
        <strike val="0"/>
        <condense val="0"/>
        <extend val="0"/>
        <outline val="0"/>
        <shadow val="0"/>
        <u val="none"/>
        <vertAlign val="baseline"/>
        <sz val="18"/>
        <color theme="0"/>
        <name val="Century Gothic"/>
        <scheme val="none"/>
      </font>
      <fill>
        <patternFill patternType="solid">
          <fgColor indexed="64"/>
          <bgColor rgb="FF002060"/>
        </patternFill>
      </fill>
      <alignment horizontal="center" vertical="center" textRotation="0" wrapText="1" indent="0" justifyLastLine="0" shrinkToFit="0" readingOrder="0"/>
      <border diagonalUp="0" diagonalDown="0">
        <left style="thin">
          <color theme="0"/>
        </left>
        <right style="thin">
          <color theme="0"/>
        </right>
        <top/>
        <bottom/>
        <vertical style="thin">
          <color theme="0"/>
        </vertical>
        <horizontal style="thin">
          <color theme="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9849D2-9A85-46A8-9AF7-2CA962C164F4}" name="Tabla248" displayName="Tabla248" ref="A3:P65" totalsRowShown="0" headerRowDxfId="34" dataDxfId="33" headerRowBorderDxfId="31" tableBorderDxfId="32" totalsRowBorderDxfId="30">
  <autoFilter ref="A3:P65" xr:uid="{AC4E2721-AD54-4A59-B293-DC29ACB768D2}"/>
  <tableColumns count="16">
    <tableColumn id="1" xr3:uid="{D0D35BBA-91F9-4ABB-B8CE-3A5C4F11C7DD}" name="No." dataDxfId="29">
      <calculatedColumnFormula>ROW(A1)</calculatedColumnFormula>
    </tableColumn>
    <tableColumn id="2" xr3:uid="{01EDC87A-256F-483E-9AB6-A6E464FB003C}" name="Mes de ingreso" dataDxfId="28"/>
    <tableColumn id="3" xr3:uid="{03F557DD-E322-4DBE-9CF9-76C9FAB3F7CD}" name="Agencia" dataDxfId="27"/>
    <tableColumn id="4" xr3:uid="{75298D9F-44F6-4EA9-87F6-73CC004B05C6}" name="Nombre" dataDxfId="26"/>
    <tableColumn id="5" xr3:uid="{94DC4E33-9726-4F3F-89F2-CE514B23DBC6}" name="Puesto" dataDxfId="25"/>
    <tableColumn id="6" xr3:uid="{ABF40D17-AA5E-4A3A-80E2-ABD9EFCEF2FF}" name="Fecha ingreso" dataDxfId="24"/>
    <tableColumn id="13" xr3:uid="{C5524DEC-AB2F-480E-9F7F-CCA927BB2CD3}" name="Encargado" dataDxfId="14"/>
    <tableColumn id="7" xr3:uid="{602719C6-C1D0-495B-B6F3-70B602AD0831}" name="No. teléfono" dataDxfId="23"/>
    <tableColumn id="8" xr3:uid="{3535F0D8-A3DE-4B48-8B79-F672558864E6}" name="Motivo de ingreso" dataDxfId="22"/>
    <tableColumn id="9" xr3:uid="{F2E32466-24D9-4F68-8F4C-3DACD4325894}" name="Informe" dataDxfId="21"/>
    <tableColumn id="17" xr3:uid="{0DD93C9B-9C98-4BD5-98EC-986DB7B4485B}" name="Nota de Desarrollo Técnico" dataDxfId="20"/>
    <tableColumn id="10" xr3:uid="{1BB2E514-7DBF-494B-AAC8-F4A904AC4C66}" name="Nota de Operaciones" dataDxfId="19"/>
    <tableColumn id="11" xr3:uid="{DE8BC042-380B-46C6-A659-03327E0CCDA0}" name="Nota de Atención al asociado" dataDxfId="18"/>
    <tableColumn id="15" xr3:uid="{54AEB923-6B79-44F0-9DED-B89562988B37}" name="Nota total" dataDxfId="17">
      <calculatedColumnFormula>AVERAGE(Tabla248[[#This Row],[Nota de Desarrollo Técnico]]:Tabla248[[#This Row],[Nota de Atención al asociado]])</calculatedColumnFormula>
    </tableColumn>
    <tableColumn id="16" xr3:uid="{B5AA8F51-8E9B-4A45-906B-043DA6E14DC8}" name="tipo de colaborador" dataDxfId="16"/>
    <tableColumn id="12" xr3:uid="{0EF634AF-7EB8-43D0-95A6-98059D3A8DE1}" name="Observaciones" dataDxfId="15"/>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ooperativaintercoprl-my.sharepoint.com/:b:/g/personal/formacionydesarrollo_intercop_gt/IQBIzYZy8P7ARYRmVGcGL8hsASWDZbwunWJA6UK4xEdmJAU?e=qYYb0f" TargetMode="External"/><Relationship Id="rId13" Type="http://schemas.openxmlformats.org/officeDocument/2006/relationships/hyperlink" Target="https://cooperativaintercoprl-my.sharepoint.com/:b:/g/personal/formacionydesarrollo_intercop_gt/IQBeZeL37pbCQbwfhRcOxvdzAWwrTQ4EkRie8LVI_LFxfEs?e=kUPpmE" TargetMode="External"/><Relationship Id="rId18" Type="http://schemas.openxmlformats.org/officeDocument/2006/relationships/hyperlink" Target="https://cooperativaintercoprl-my.sharepoint.com/:b:/g/personal/formacionydesarrollo_intercop_gt/IQDXDtsZSxQDTZHQuViKKdp8AQzm3HJ-3SrpLWgFB-jzgyI?e=iuJxqn" TargetMode="External"/><Relationship Id="rId26" Type="http://schemas.openxmlformats.org/officeDocument/2006/relationships/hyperlink" Target="https://cooperativaintercoprl-my.sharepoint.com/:b:/g/personal/formacionydesarrollo_intercop_gt/IQByXUet6CL2RLQQ0y10VleYARDroJS8JdfqmI9SMnYifP8?e=3oOhtR" TargetMode="External"/><Relationship Id="rId3" Type="http://schemas.openxmlformats.org/officeDocument/2006/relationships/hyperlink" Target="https://cooperativaintercoprl-my.sharepoint.com/:b:/g/personal/formacionydesarrollo_intercop_gt/IQB3gWPFoyqARJQeFTkn-DRUAdQzlqphpD5Kw6XmmAhvpuI?e=Zq7QPR" TargetMode="External"/><Relationship Id="rId21" Type="http://schemas.openxmlformats.org/officeDocument/2006/relationships/hyperlink" Target="https://cooperativaintercoprl-my.sharepoint.com/:b:/g/personal/formacionydesarrollo_intercop_gt/IQCjWGu-bjw8T7-UZhAadL81ATvvjM8YaluPeAebbsy_dtI?e=cPuQJ2" TargetMode="External"/><Relationship Id="rId34" Type="http://schemas.openxmlformats.org/officeDocument/2006/relationships/hyperlink" Target="https://cooperativaintercoprl-my.sharepoint.com/:b:/g/personal/formacionydesarrollo_intercop_gt/IQDFkVG_6Z4YRJBHy9DSmYg7AVMwpamMCbMV0dbGe937BHs?e=tu9gv1" TargetMode="External"/><Relationship Id="rId7" Type="http://schemas.openxmlformats.org/officeDocument/2006/relationships/hyperlink" Target="https://cooperativaintercoprl-my.sharepoint.com/:b:/g/personal/formacionydesarrollo_intercop_gt/IQCkLEAYTYkGSbDuO5EITm2zAQNPpsiHw_j1n36KefzRjxw?e=ibWS2A" TargetMode="External"/><Relationship Id="rId12" Type="http://schemas.openxmlformats.org/officeDocument/2006/relationships/hyperlink" Target="https://cooperativaintercoprl-my.sharepoint.com/:b:/g/personal/formacionydesarrollo_intercop_gt/IQBaSSp2R8q_TJS7TmK-9MsRAeo7b0bTEyeJoZhmkKS_43M?e=ZmhVtc" TargetMode="External"/><Relationship Id="rId17" Type="http://schemas.openxmlformats.org/officeDocument/2006/relationships/hyperlink" Target="https://cooperativaintercoprl-my.sharepoint.com/:b:/g/personal/formacionydesarrollo_intercop_gt/IQBQY1E6YhARSbdY_qdmBhZZAQ6v6n_Idikuq36yBOB-JDc?e=75NcQp" TargetMode="External"/><Relationship Id="rId25" Type="http://schemas.openxmlformats.org/officeDocument/2006/relationships/hyperlink" Target="https://cooperativaintercoprl-my.sharepoint.com/:b:/g/personal/formacionydesarrollo_intercop_gt/IQCZd099BzefT7GAyCiNIxz0Aci7OGIoS-XXqH4jSffydxw?e=iYNLsC" TargetMode="External"/><Relationship Id="rId33" Type="http://schemas.openxmlformats.org/officeDocument/2006/relationships/hyperlink" Target="https://cooperativaintercoprl-my.sharepoint.com/:b:/g/personal/formacionydesarrollo_intercop_gt/IQDV0aznj-LrTI103oXQ9j4kAQJuiN7kcxQNbWNa9es31hk?e=RFsRjg" TargetMode="External"/><Relationship Id="rId38" Type="http://schemas.openxmlformats.org/officeDocument/2006/relationships/table" Target="../tables/table1.xml"/><Relationship Id="rId2" Type="http://schemas.openxmlformats.org/officeDocument/2006/relationships/hyperlink" Target="https://cooperativaintercoprl-my.sharepoint.com/:b:/g/personal/formacionydesarrollo_intercop_gt/IQDFBZ0xBen4TZuySdjAql6mAVl1OHdIj_EGrgFoHD2-lVY?e=XN2tiG" TargetMode="External"/><Relationship Id="rId16" Type="http://schemas.openxmlformats.org/officeDocument/2006/relationships/hyperlink" Target="https://cooperativaintercoprl-my.sharepoint.com/:b:/g/personal/formacionydesarrollo_intercop_gt/IQD5AwDh_sSwTKEFKs5zXSn5AZ6Uv2rz2IxpZoC_1qbCjZU?e=EDUPZq" TargetMode="External"/><Relationship Id="rId20" Type="http://schemas.openxmlformats.org/officeDocument/2006/relationships/hyperlink" Target="https://cooperativaintercoprl-my.sharepoint.com/:b:/g/personal/formacionydesarrollo_intercop_gt/IQAKQA6cbB2ZQI9wjM0o_Pw0AfeQIO6Zs6y7ydt5fQy7JmI?e=nn5Pd8" TargetMode="External"/><Relationship Id="rId29" Type="http://schemas.openxmlformats.org/officeDocument/2006/relationships/hyperlink" Target="https://cooperativaintercoprl-my.sharepoint.com/:b:/g/personal/formacionydesarrollo_intercop_gt/IQBx6eX3tl2NSppn7SppkWhAASHJF-BqMG3ceu5_4kAmHtg?e=aNPdQ7" TargetMode="External"/><Relationship Id="rId1" Type="http://schemas.openxmlformats.org/officeDocument/2006/relationships/hyperlink" Target="https://cooperativaintercoprl-my.sharepoint.com/:b:/g/personal/formacionydesarrollo_intercop_gt/IQDxHGmTzO6CQJOqNrtyAdlwAR3uZQTWq_FZUd6v6XVZaMU?e=RPSgqX" TargetMode="External"/><Relationship Id="rId6" Type="http://schemas.openxmlformats.org/officeDocument/2006/relationships/hyperlink" Target="https://cooperativaintercoprl-my.sharepoint.com/:b:/g/personal/formacionydesarrollo_intercop_gt/IQA7Sj7yHZkGRqDNOeV_JZ49ATOVtLuR5nt6a4lWJEGrkc4?e=A2W7e8" TargetMode="External"/><Relationship Id="rId11" Type="http://schemas.openxmlformats.org/officeDocument/2006/relationships/hyperlink" Target="https://cooperativaintercoprl-my.sharepoint.com/:b:/g/personal/formacionydesarrollo_intercop_gt/IQD12R71X2fgTZie1IODf0l6ATfkT2RpHMbCGZELf9gN-g0?e=d4b9sy" TargetMode="External"/><Relationship Id="rId24" Type="http://schemas.openxmlformats.org/officeDocument/2006/relationships/hyperlink" Target="https://cooperativaintercoprl-my.sharepoint.com/:b:/g/personal/formacionydesarrollo_intercop_gt/IQBx5S5T3FDMRpgph-up5OW6AaC5bYH339J0Zi9VR2e_F1M?e=g1hi0t" TargetMode="External"/><Relationship Id="rId32" Type="http://schemas.openxmlformats.org/officeDocument/2006/relationships/hyperlink" Target="https://cooperativaintercoprl-my.sharepoint.com/:b:/g/personal/formacionydesarrollo_intercop_gt/IQBKYNeLwfmmSqIcn1dyM9IzAYE-wvefsFAocoQepOMjxLM?e=G8C4O5" TargetMode="External"/><Relationship Id="rId37" Type="http://schemas.openxmlformats.org/officeDocument/2006/relationships/hyperlink" Target="https://cooperativaintercoprl-my.sharepoint.com/:b:/g/personal/formacionydesarrollo_intercop_gt/IQB-ZSXPfNsjRYLxu6m-AOkhAdPjrHLpcKgz-dGtYC3k07Q?e=HWHUkL" TargetMode="External"/><Relationship Id="rId5" Type="http://schemas.openxmlformats.org/officeDocument/2006/relationships/hyperlink" Target="https://cooperativaintercoprl-my.sharepoint.com/:b:/g/personal/formacionydesarrollo_intercop_gt/IQCxJYZ1a_hvRpvGtNNfENtjAVEdnmVd8aCZ7tMwPVFdJkw?e=Y9p03E" TargetMode="External"/><Relationship Id="rId15" Type="http://schemas.openxmlformats.org/officeDocument/2006/relationships/hyperlink" Target="https://cooperativaintercoprl-my.sharepoint.com/:b:/g/personal/formacionydesarrollo_intercop_gt/IQB4GLeT7ABcQ4Aw0btu8KIEAUOStdMI5Ym_V7XmQmDk4D0?e=UDPX4a" TargetMode="External"/><Relationship Id="rId23" Type="http://schemas.openxmlformats.org/officeDocument/2006/relationships/hyperlink" Target="https://cooperativaintercoprl-my.sharepoint.com/:b:/g/personal/formacionydesarrollo_intercop_gt/IQDfEHDLq0JIRo01FA3fKppaAegbOi5RG1nC8Cn4fhpXCF8?e=xbXYrc" TargetMode="External"/><Relationship Id="rId28" Type="http://schemas.openxmlformats.org/officeDocument/2006/relationships/hyperlink" Target="https://cooperativaintercoprl-my.sharepoint.com/:b:/g/personal/formacionydesarrollo_intercop_gt/IQALNMNKaPGpSKbHsYvvnkEHASirsGsh-wR17F4jiDI7n18?e=1q8urq" TargetMode="External"/><Relationship Id="rId36" Type="http://schemas.openxmlformats.org/officeDocument/2006/relationships/hyperlink" Target="https://cooperativaintercoprl-my.sharepoint.com/:b:/g/personal/formacionydesarrollo_intercop_gt/IQAnnVQg2titSqW412f6u5P8AVIEYE2xc6xyxzISUzrB8cc?e=H8mKmF" TargetMode="External"/><Relationship Id="rId10" Type="http://schemas.openxmlformats.org/officeDocument/2006/relationships/hyperlink" Target="https://cooperativaintercoprl-my.sharepoint.com/:b:/g/personal/formacionydesarrollo_intercop_gt/IQAciatj4tyAQY7pIOMSOoh3AUZFGD6t_qiUTcBKnkpAT7g?e=1cHanA" TargetMode="External"/><Relationship Id="rId19" Type="http://schemas.openxmlformats.org/officeDocument/2006/relationships/hyperlink" Target="https://cooperativaintercoprl-my.sharepoint.com/:b:/g/personal/formacionydesarrollo_intercop_gt/IQDbz1mHArN6S7yfhjJR5hsMARwQ0spvwBwzlFLExwJPNbg?e=S1S4Ld" TargetMode="External"/><Relationship Id="rId31" Type="http://schemas.openxmlformats.org/officeDocument/2006/relationships/hyperlink" Target="https://cooperativaintercoprl-my.sharepoint.com/personal/formacionydesarrollo_intercop_gt/_layouts/15/onedrive.aspx?viewid=1aa72562%2D9695%2D4a9c%2Da732%2D7d447f1d52bb&amp;sharingv2=true&amp;fromShare=true&amp;at=9&amp;CID=06b6f4a1%2Dc045%2Db000%2D93ea%2Dcb42adc00309&amp;cidOR=SPO&amp;FolderCTID=0x012000A26FC93FE7A5924D889B9AC06FAD1A0E&amp;id=%2Fpersonal%2Fformacionydesarrollo%5Fintercop%5Fgt%2FDocuments%2FFormaci%C3%B3n%20y%20desarrollo%2FPLANIFICACI%C3%93N%202026%2FDesarrollo%2FPlan%20de%20Trabajo%202026%20Inducci%C3%B3n%20T%C3%A9cnica%2FMaterial%20E%20informe%20de%20Inducci%C3%B3n%20Operativa%2FInformes%20Operativos%2FInformes%20Asesores%20de%20Creditos%2FInforme%20Elmer%20Perez%2Epdf&amp;parent=%2Fpersonal%2Fformacionydesarrollo%5Fintercop%5Fgt%2FDocuments%2FFormaci%C3%B3n%20y%20desarrollo%2FPLANIFICACI%C3%93N%202026%2FDesarrollo%2FPlan%20de%20Trabajo%202026%20Inducci%C3%B3n%20T%C3%A9cnica%2FMaterial%20E%20informe%20de%20Inducci%C3%B3n%20Operativa%2FInformes%20Operativos%2FInformes%20Asesores%20de%20Creditos" TargetMode="External"/><Relationship Id="rId4" Type="http://schemas.openxmlformats.org/officeDocument/2006/relationships/hyperlink" Target="https://cooperativaintercoprl-my.sharepoint.com/:b:/g/personal/formacionydesarrollo_intercop_gt/IQAY5aRpSbcjQpxJLhflcb3mAf3fWY-XwqSbZwbg5nUxZjs?e=7VJ7Qy" TargetMode="External"/><Relationship Id="rId9" Type="http://schemas.openxmlformats.org/officeDocument/2006/relationships/hyperlink" Target="https://cooperativaintercoprl-my.sharepoint.com/:b:/g/personal/formacionydesarrollo_intercop_gt/IQBK1yynl5rkS4YzouuvyyoxASggenoq1EbZCgn4lEC9s1Q?e=RadeEI" TargetMode="External"/><Relationship Id="rId14" Type="http://schemas.openxmlformats.org/officeDocument/2006/relationships/hyperlink" Target="https://cooperativaintercoprl-my.sharepoint.com/:b:/g/personal/formacionydesarrollo_intercop_gt/IQAchOQ2ks-SQoYVO7vlt7qUAQu8rDUvwlnNYpJZnJPPPzg?e=aHdxb4" TargetMode="External"/><Relationship Id="rId22" Type="http://schemas.openxmlformats.org/officeDocument/2006/relationships/hyperlink" Target="https://cooperativaintercoprl-my.sharepoint.com/:b:/g/personal/formacionydesarrollo_intercop_gt/IQBP92CDtCXaTr86sV1HVPJGAXcFqR_1_eqVMh-QvcZ8vco?e=hK9Pip" TargetMode="External"/><Relationship Id="rId27" Type="http://schemas.openxmlformats.org/officeDocument/2006/relationships/hyperlink" Target="https://cooperativaintercoprl-my.sharepoint.com/:b:/g/personal/formacionydesarrollo_intercop_gt/IQCYXypawgf9R5Bi4WlQt7omAcOXt8dy3hMvQsjOkvFvtJ8?e=4Urdte" TargetMode="External"/><Relationship Id="rId30" Type="http://schemas.openxmlformats.org/officeDocument/2006/relationships/hyperlink" Target="https://cooperativaintercoprl-my.sharepoint.com/:b:/g/personal/formacionydesarrollo_intercop_gt/IQAaO1CriNI-RospNAVjtCPoAYsupI3osyCq0CM_0l1hw6A?e=xgej3R" TargetMode="External"/><Relationship Id="rId35" Type="http://schemas.openxmlformats.org/officeDocument/2006/relationships/hyperlink" Target="https://cooperativaintercoprl-my.sharepoint.com/:b:/g/personal/formacionydesarrollo_intercop_gt/IQCQ920ZgnoSTrZB5_qZjWopAXdrQQes9XyjdTDElKKady8?e=vynmg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9542A-9E49-46C4-B8F7-E54E064C3D43}">
  <dimension ref="A1:P65"/>
  <sheetViews>
    <sheetView showGridLines="0" tabSelected="1" zoomScale="50" zoomScaleNormal="50" workbookViewId="0">
      <selection activeCell="G62" sqref="G62"/>
    </sheetView>
  </sheetViews>
  <sheetFormatPr baseColWidth="10" defaultColWidth="9.140625" defaultRowHeight="24" x14ac:dyDescent="0.35"/>
  <cols>
    <col min="1" max="1" width="7" style="115" bestFit="1" customWidth="1"/>
    <col min="2" max="2" width="10.85546875" style="116" customWidth="1"/>
    <col min="3" max="3" width="29.7109375" style="116" bestFit="1" customWidth="1"/>
    <col min="4" max="4" width="38" style="116" customWidth="1"/>
    <col min="5" max="5" width="31.7109375" style="116" customWidth="1"/>
    <col min="6" max="6" width="21.7109375" style="116" customWidth="1"/>
    <col min="7" max="7" width="20.28515625" style="116" customWidth="1"/>
    <col min="8" max="8" width="22.7109375" style="116" customWidth="1"/>
    <col min="9" max="9" width="39.42578125" style="116" bestFit="1" customWidth="1"/>
    <col min="10" max="10" width="17.85546875" style="116" customWidth="1"/>
    <col min="11" max="11" width="17.5703125" style="116" customWidth="1"/>
    <col min="12" max="12" width="17.42578125" style="116" customWidth="1"/>
    <col min="13" max="13" width="18.85546875" style="116" customWidth="1"/>
    <col min="14" max="14" width="24.7109375" style="116" bestFit="1" customWidth="1"/>
    <col min="15" max="15" width="51.85546875" style="116" customWidth="1"/>
    <col min="16" max="16384" width="9.140625" style="3"/>
  </cols>
  <sheetData>
    <row r="1" spans="1:16" ht="27.75" customHeight="1" x14ac:dyDescent="0.3">
      <c r="A1" s="1" t="s">
        <v>0</v>
      </c>
      <c r="B1" s="2"/>
      <c r="C1" s="2"/>
      <c r="D1" s="2"/>
      <c r="E1" s="2"/>
      <c r="F1" s="2"/>
      <c r="G1" s="2"/>
      <c r="H1" s="2"/>
      <c r="I1" s="2"/>
      <c r="J1" s="2"/>
      <c r="K1" s="2"/>
      <c r="L1" s="2"/>
      <c r="M1" s="2"/>
      <c r="N1" s="2"/>
      <c r="O1" s="2"/>
    </row>
    <row r="2" spans="1:16" ht="27.75" customHeight="1" x14ac:dyDescent="0.3">
      <c r="A2" s="1"/>
      <c r="B2" s="2"/>
      <c r="C2" s="2"/>
      <c r="D2" s="2"/>
      <c r="E2" s="2"/>
      <c r="F2" s="2"/>
      <c r="G2" s="2"/>
      <c r="H2" s="2"/>
      <c r="I2" s="2"/>
      <c r="J2" s="2"/>
      <c r="K2" s="2"/>
      <c r="L2" s="2"/>
      <c r="M2" s="2"/>
      <c r="N2" s="2"/>
      <c r="O2" s="2"/>
    </row>
    <row r="3" spans="1:16" ht="55.5" customHeight="1" x14ac:dyDescent="0.3">
      <c r="A3" s="4" t="s">
        <v>1</v>
      </c>
      <c r="B3" s="4" t="s">
        <v>2</v>
      </c>
      <c r="C3" s="4" t="s">
        <v>3</v>
      </c>
      <c r="D3" s="4" t="s">
        <v>4</v>
      </c>
      <c r="E3" s="4" t="s">
        <v>5</v>
      </c>
      <c r="F3" s="4" t="s">
        <v>6</v>
      </c>
      <c r="G3" s="4" t="s">
        <v>214</v>
      </c>
      <c r="H3" s="4" t="s">
        <v>7</v>
      </c>
      <c r="I3" s="4" t="s">
        <v>8</v>
      </c>
      <c r="J3" s="5" t="s">
        <v>9</v>
      </c>
      <c r="K3" s="6" t="s">
        <v>10</v>
      </c>
      <c r="L3" s="6" t="s">
        <v>11</v>
      </c>
      <c r="M3" s="6" t="s">
        <v>12</v>
      </c>
      <c r="N3" s="7" t="s">
        <v>13</v>
      </c>
      <c r="O3" s="7" t="s">
        <v>14</v>
      </c>
      <c r="P3" s="6" t="s">
        <v>15</v>
      </c>
    </row>
    <row r="4" spans="1:16" ht="116.25" x14ac:dyDescent="0.35">
      <c r="A4" s="8">
        <f>ROW(A1)</f>
        <v>1</v>
      </c>
      <c r="B4" s="9" t="s">
        <v>16</v>
      </c>
      <c r="C4" s="10" t="s">
        <v>17</v>
      </c>
      <c r="D4" s="10" t="s">
        <v>18</v>
      </c>
      <c r="E4" s="10" t="s">
        <v>19</v>
      </c>
      <c r="F4" s="11">
        <v>46083</v>
      </c>
      <c r="G4" s="118" t="s">
        <v>215</v>
      </c>
      <c r="H4" s="12" t="s">
        <v>20</v>
      </c>
      <c r="I4" s="13" t="s">
        <v>21</v>
      </c>
      <c r="J4" s="14" t="s">
        <v>22</v>
      </c>
      <c r="K4" s="15">
        <v>80</v>
      </c>
      <c r="L4" s="16"/>
      <c r="M4" s="16"/>
      <c r="N4" s="17">
        <f>AVERAGE(Tabla248[[#This Row],[Nota de Desarrollo Técnico]]:Tabla248[[#This Row],[Nota de Atención al asociado]])</f>
        <v>80</v>
      </c>
      <c r="O4" s="18"/>
      <c r="P4" s="19"/>
    </row>
    <row r="5" spans="1:16" ht="107.25" customHeight="1" x14ac:dyDescent="0.3">
      <c r="A5" s="8">
        <f t="shared" ref="A5:A64" si="0">ROW(A2)</f>
        <v>2</v>
      </c>
      <c r="B5" s="9" t="s">
        <v>16</v>
      </c>
      <c r="C5" s="10" t="s">
        <v>23</v>
      </c>
      <c r="D5" s="10" t="s">
        <v>24</v>
      </c>
      <c r="E5" s="10" t="s">
        <v>25</v>
      </c>
      <c r="F5" s="11">
        <v>46083</v>
      </c>
      <c r="G5" s="118" t="s">
        <v>216</v>
      </c>
      <c r="H5" s="20" t="s">
        <v>26</v>
      </c>
      <c r="I5" s="21" t="s">
        <v>27</v>
      </c>
      <c r="J5" s="22" t="s">
        <v>28</v>
      </c>
      <c r="K5" s="23">
        <v>62</v>
      </c>
      <c r="L5" s="16">
        <v>93</v>
      </c>
      <c r="M5" s="16">
        <v>90</v>
      </c>
      <c r="N5" s="17">
        <f>AVERAGE(Tabla248[[#This Row],[Nota de Desarrollo Técnico]]:Tabla248[[#This Row],[Nota de Atención al asociado]])</f>
        <v>81.666666666666671</v>
      </c>
      <c r="O5" s="24"/>
      <c r="P5" s="25" t="s">
        <v>29</v>
      </c>
    </row>
    <row r="6" spans="1:16" ht="96" x14ac:dyDescent="0.3">
      <c r="A6" s="8">
        <f t="shared" si="0"/>
        <v>3</v>
      </c>
      <c r="B6" s="9" t="s">
        <v>16</v>
      </c>
      <c r="C6" s="10" t="s">
        <v>23</v>
      </c>
      <c r="D6" s="10" t="s">
        <v>30</v>
      </c>
      <c r="E6" s="10" t="s">
        <v>31</v>
      </c>
      <c r="F6" s="11">
        <v>46083</v>
      </c>
      <c r="G6" s="118" t="s">
        <v>217</v>
      </c>
      <c r="H6" s="12" t="s">
        <v>32</v>
      </c>
      <c r="I6" s="26" t="s">
        <v>27</v>
      </c>
      <c r="J6" s="13"/>
      <c r="K6" s="27">
        <v>70</v>
      </c>
      <c r="L6" s="16"/>
      <c r="M6" s="16"/>
      <c r="N6" s="17">
        <f>AVERAGE(Tabla248[[#This Row],[Nota de Desarrollo Técnico]]:Tabla248[[#This Row],[Nota de Atención al asociado]])</f>
        <v>70</v>
      </c>
      <c r="O6" s="24"/>
      <c r="P6" s="19"/>
    </row>
    <row r="7" spans="1:16" ht="409.5" x14ac:dyDescent="0.3">
      <c r="A7" s="8">
        <f t="shared" si="0"/>
        <v>4</v>
      </c>
      <c r="B7" s="9" t="s">
        <v>16</v>
      </c>
      <c r="C7" s="10" t="s">
        <v>23</v>
      </c>
      <c r="D7" s="10" t="s">
        <v>33</v>
      </c>
      <c r="E7" s="10" t="s">
        <v>34</v>
      </c>
      <c r="F7" s="11">
        <v>46083</v>
      </c>
      <c r="G7" s="118" t="s">
        <v>216</v>
      </c>
      <c r="H7" s="12" t="s">
        <v>35</v>
      </c>
      <c r="I7" s="26" t="s">
        <v>27</v>
      </c>
      <c r="J7" s="22" t="s">
        <v>28</v>
      </c>
      <c r="K7" s="23">
        <v>74</v>
      </c>
      <c r="L7" s="16">
        <v>92</v>
      </c>
      <c r="M7" s="16">
        <v>90</v>
      </c>
      <c r="N7" s="17">
        <f>AVERAGE(Tabla248[[#This Row],[Nota de Desarrollo Técnico]]:Tabla248[[#This Row],[Nota de Atención al asociado]])</f>
        <v>85.333333333333329</v>
      </c>
      <c r="O7" s="24"/>
      <c r="P7" s="19" t="s">
        <v>36</v>
      </c>
    </row>
    <row r="8" spans="1:16" ht="409.5" x14ac:dyDescent="0.3">
      <c r="A8" s="8">
        <f t="shared" si="0"/>
        <v>5</v>
      </c>
      <c r="B8" s="9" t="s">
        <v>16</v>
      </c>
      <c r="C8" s="10" t="s">
        <v>23</v>
      </c>
      <c r="D8" s="10" t="s">
        <v>37</v>
      </c>
      <c r="E8" s="10" t="s">
        <v>34</v>
      </c>
      <c r="F8" s="11">
        <v>46083</v>
      </c>
      <c r="G8" s="118" t="s">
        <v>216</v>
      </c>
      <c r="H8" s="12" t="s">
        <v>38</v>
      </c>
      <c r="I8" s="26" t="s">
        <v>27</v>
      </c>
      <c r="J8" s="28" t="s">
        <v>28</v>
      </c>
      <c r="K8" s="23">
        <v>74</v>
      </c>
      <c r="L8" s="16">
        <v>93</v>
      </c>
      <c r="M8" s="16">
        <v>70</v>
      </c>
      <c r="N8" s="17">
        <f>AVERAGE(Tabla248[[#This Row],[Nota de Desarrollo Técnico]]:Tabla248[[#This Row],[Nota de Atención al asociado]])</f>
        <v>79</v>
      </c>
      <c r="O8" s="24"/>
      <c r="P8" s="19" t="s">
        <v>39</v>
      </c>
    </row>
    <row r="9" spans="1:16" ht="409.5" x14ac:dyDescent="0.3">
      <c r="A9" s="8">
        <f t="shared" si="0"/>
        <v>6</v>
      </c>
      <c r="B9" s="9" t="s">
        <v>16</v>
      </c>
      <c r="C9" s="10" t="s">
        <v>23</v>
      </c>
      <c r="D9" s="10" t="s">
        <v>40</v>
      </c>
      <c r="E9" s="10" t="s">
        <v>41</v>
      </c>
      <c r="F9" s="11">
        <v>46083</v>
      </c>
      <c r="G9" s="118" t="s">
        <v>218</v>
      </c>
      <c r="H9" s="20" t="s">
        <v>42</v>
      </c>
      <c r="I9" s="29" t="s">
        <v>27</v>
      </c>
      <c r="J9" s="30" t="s">
        <v>43</v>
      </c>
      <c r="K9" s="12">
        <v>71</v>
      </c>
      <c r="L9" s="16">
        <v>70</v>
      </c>
      <c r="M9" s="16">
        <v>80</v>
      </c>
      <c r="N9" s="31">
        <f>AVERAGE(Tabla248[[#This Row],[Nota de Desarrollo Técnico]]:Tabla248[[#This Row],[Nota de Atención al asociado]])</f>
        <v>73.666666666666671</v>
      </c>
      <c r="O9" s="24"/>
      <c r="P9" s="19" t="s">
        <v>44</v>
      </c>
    </row>
    <row r="10" spans="1:16" ht="409.5" x14ac:dyDescent="0.3">
      <c r="A10" s="8">
        <f t="shared" si="0"/>
        <v>7</v>
      </c>
      <c r="B10" s="9" t="s">
        <v>16</v>
      </c>
      <c r="C10" s="10" t="s">
        <v>23</v>
      </c>
      <c r="D10" s="10" t="s">
        <v>45</v>
      </c>
      <c r="E10" s="10" t="s">
        <v>41</v>
      </c>
      <c r="F10" s="11">
        <v>46083</v>
      </c>
      <c r="G10" s="118" t="s">
        <v>218</v>
      </c>
      <c r="H10" s="12" t="s">
        <v>46</v>
      </c>
      <c r="I10" s="13" t="s">
        <v>27</v>
      </c>
      <c r="J10" s="30" t="s">
        <v>43</v>
      </c>
      <c r="K10" s="32">
        <v>69</v>
      </c>
      <c r="L10" s="33">
        <v>63</v>
      </c>
      <c r="M10" s="34">
        <v>80</v>
      </c>
      <c r="N10" s="35">
        <f>AVERAGE(Tabla248[[#This Row],[Nota de Desarrollo Técnico]]:Tabla248[[#This Row],[Nota de Atención al asociado]])</f>
        <v>70.666666666666671</v>
      </c>
      <c r="O10" s="24"/>
      <c r="P10" s="9" t="s">
        <v>47</v>
      </c>
    </row>
    <row r="11" spans="1:16" ht="96" x14ac:dyDescent="0.35">
      <c r="A11" s="8">
        <f t="shared" si="0"/>
        <v>8</v>
      </c>
      <c r="B11" s="9" t="s">
        <v>16</v>
      </c>
      <c r="C11" s="10" t="s">
        <v>23</v>
      </c>
      <c r="D11" s="10" t="s">
        <v>48</v>
      </c>
      <c r="E11" s="10" t="s">
        <v>19</v>
      </c>
      <c r="F11" s="11">
        <v>46083</v>
      </c>
      <c r="G11" s="118" t="s">
        <v>215</v>
      </c>
      <c r="H11" s="12" t="s">
        <v>49</v>
      </c>
      <c r="I11" s="13" t="s">
        <v>27</v>
      </c>
      <c r="J11" s="14" t="s">
        <v>50</v>
      </c>
      <c r="K11" s="15">
        <v>80</v>
      </c>
      <c r="L11" s="16"/>
      <c r="M11" s="16"/>
      <c r="N11" s="17">
        <f>AVERAGE(Tabla248[[#This Row],[Nota de Desarrollo Técnico]]:Tabla248[[#This Row],[Nota de Atención al asociado]])</f>
        <v>80</v>
      </c>
      <c r="O11" s="24"/>
      <c r="P11" s="19"/>
    </row>
    <row r="12" spans="1:16" ht="167.25" customHeight="1" x14ac:dyDescent="0.3">
      <c r="A12" s="8">
        <f t="shared" si="0"/>
        <v>9</v>
      </c>
      <c r="B12" s="9" t="s">
        <v>16</v>
      </c>
      <c r="C12" s="10" t="s">
        <v>51</v>
      </c>
      <c r="D12" s="10" t="s">
        <v>52</v>
      </c>
      <c r="E12" s="10" t="s">
        <v>34</v>
      </c>
      <c r="F12" s="11">
        <v>46083</v>
      </c>
      <c r="G12" s="118" t="s">
        <v>216</v>
      </c>
      <c r="H12" s="12" t="s">
        <v>53</v>
      </c>
      <c r="I12" s="13" t="s">
        <v>21</v>
      </c>
      <c r="J12" s="30" t="s">
        <v>28</v>
      </c>
      <c r="K12" s="36">
        <v>71</v>
      </c>
      <c r="L12" s="16">
        <v>92</v>
      </c>
      <c r="M12" s="16">
        <v>90</v>
      </c>
      <c r="N12" s="17">
        <f>AVERAGE(Tabla248[[#This Row],[Nota de Desarrollo Técnico]]:Tabla248[[#This Row],[Nota de Atención al asociado]])</f>
        <v>84.333333333333329</v>
      </c>
      <c r="O12" s="24"/>
      <c r="P12" s="19" t="s">
        <v>54</v>
      </c>
    </row>
    <row r="13" spans="1:16" ht="409.5" x14ac:dyDescent="0.3">
      <c r="A13" s="8">
        <f t="shared" si="0"/>
        <v>10</v>
      </c>
      <c r="B13" s="19" t="s">
        <v>16</v>
      </c>
      <c r="C13" s="37" t="s">
        <v>55</v>
      </c>
      <c r="D13" s="37" t="s">
        <v>56</v>
      </c>
      <c r="E13" s="37" t="s">
        <v>34</v>
      </c>
      <c r="F13" s="38">
        <v>46097</v>
      </c>
      <c r="G13" s="119" t="s">
        <v>216</v>
      </c>
      <c r="H13" s="39" t="s">
        <v>57</v>
      </c>
      <c r="I13" s="13"/>
      <c r="J13" s="30" t="s">
        <v>58</v>
      </c>
      <c r="K13" s="40">
        <v>65</v>
      </c>
      <c r="L13" s="41">
        <v>65</v>
      </c>
      <c r="M13" s="41">
        <v>59</v>
      </c>
      <c r="N13" s="17">
        <f>AVERAGE(Tabla248[[#This Row],[Nota de Desarrollo Técnico]]:Tabla248[[#This Row],[Nota de Atención al asociado]])</f>
        <v>63</v>
      </c>
      <c r="O13" s="24"/>
      <c r="P13" s="19" t="s">
        <v>59</v>
      </c>
    </row>
    <row r="14" spans="1:16" ht="409.5" x14ac:dyDescent="0.3">
      <c r="A14" s="8">
        <f t="shared" si="0"/>
        <v>11</v>
      </c>
      <c r="B14" s="19" t="s">
        <v>16</v>
      </c>
      <c r="C14" s="42" t="s">
        <v>60</v>
      </c>
      <c r="D14" s="42" t="s">
        <v>61</v>
      </c>
      <c r="E14" s="42" t="s">
        <v>41</v>
      </c>
      <c r="F14" s="38">
        <v>46097</v>
      </c>
      <c r="G14" s="119" t="s">
        <v>218</v>
      </c>
      <c r="H14" s="43" t="s">
        <v>62</v>
      </c>
      <c r="I14" s="13" t="s">
        <v>27</v>
      </c>
      <c r="J14" s="30" t="s">
        <v>43</v>
      </c>
      <c r="K14" s="12">
        <v>76</v>
      </c>
      <c r="L14" s="41">
        <v>51.28</v>
      </c>
      <c r="M14" s="16">
        <v>71</v>
      </c>
      <c r="N14" s="31">
        <f>AVERAGE(Tabla248[[#This Row],[Nota de Desarrollo Técnico]]:Tabla248[[#This Row],[Nota de Atención al asociado]])</f>
        <v>66.093333333333334</v>
      </c>
      <c r="O14" s="24"/>
      <c r="P14" s="19" t="s">
        <v>63</v>
      </c>
    </row>
    <row r="15" spans="1:16" ht="409.5" x14ac:dyDescent="0.3">
      <c r="A15" s="8">
        <f t="shared" si="0"/>
        <v>12</v>
      </c>
      <c r="B15" s="19" t="s">
        <v>16</v>
      </c>
      <c r="C15" s="42" t="s">
        <v>64</v>
      </c>
      <c r="D15" s="42" t="s">
        <v>65</v>
      </c>
      <c r="E15" s="42" t="s">
        <v>66</v>
      </c>
      <c r="F15" s="38">
        <v>46097</v>
      </c>
      <c r="G15" s="119" t="s">
        <v>218</v>
      </c>
      <c r="H15" s="43" t="s">
        <v>67</v>
      </c>
      <c r="I15" s="13" t="s">
        <v>27</v>
      </c>
      <c r="J15" s="30" t="s">
        <v>43</v>
      </c>
      <c r="K15" s="44">
        <v>78</v>
      </c>
      <c r="L15" s="16"/>
      <c r="M15" s="16">
        <v>92</v>
      </c>
      <c r="N15" s="17">
        <f>AVERAGE(Tabla248[[#This Row],[Nota de Desarrollo Técnico]]:Tabla248[[#This Row],[Nota de Atención al asociado]])</f>
        <v>85</v>
      </c>
      <c r="O15" s="24"/>
      <c r="P15" s="19" t="s">
        <v>68</v>
      </c>
    </row>
    <row r="16" spans="1:16" ht="409.5" x14ac:dyDescent="0.3">
      <c r="A16" s="8">
        <f t="shared" si="0"/>
        <v>13</v>
      </c>
      <c r="B16" s="19" t="s">
        <v>16</v>
      </c>
      <c r="C16" s="42" t="s">
        <v>69</v>
      </c>
      <c r="D16" s="42" t="s">
        <v>70</v>
      </c>
      <c r="E16" s="42" t="s">
        <v>34</v>
      </c>
      <c r="F16" s="38">
        <v>46097</v>
      </c>
      <c r="G16" s="119" t="s">
        <v>216</v>
      </c>
      <c r="H16" s="43" t="s">
        <v>71</v>
      </c>
      <c r="I16" s="13"/>
      <c r="J16" s="30" t="s">
        <v>58</v>
      </c>
      <c r="K16" s="40">
        <v>69</v>
      </c>
      <c r="L16" s="41">
        <v>64</v>
      </c>
      <c r="M16" s="16">
        <v>71</v>
      </c>
      <c r="N16" s="17">
        <f>AVERAGE(Tabla248[[#This Row],[Nota de Desarrollo Técnico]]:Tabla248[[#This Row],[Nota de Atención al asociado]])</f>
        <v>68</v>
      </c>
      <c r="O16" s="24"/>
      <c r="P16" s="19" t="s">
        <v>72</v>
      </c>
    </row>
    <row r="17" spans="1:16" ht="409.5" x14ac:dyDescent="0.3">
      <c r="A17" s="8">
        <f t="shared" si="0"/>
        <v>14</v>
      </c>
      <c r="B17" s="19" t="s">
        <v>16</v>
      </c>
      <c r="C17" s="42" t="s">
        <v>73</v>
      </c>
      <c r="D17" s="42" t="s">
        <v>74</v>
      </c>
      <c r="E17" s="42" t="s">
        <v>75</v>
      </c>
      <c r="F17" s="38">
        <v>46097</v>
      </c>
      <c r="G17" s="119" t="s">
        <v>216</v>
      </c>
      <c r="H17" s="43" t="s">
        <v>76</v>
      </c>
      <c r="I17" s="26"/>
      <c r="J17" s="45" t="s">
        <v>58</v>
      </c>
      <c r="K17" s="46">
        <v>56</v>
      </c>
      <c r="L17" s="41">
        <v>58</v>
      </c>
      <c r="M17" s="41">
        <v>56</v>
      </c>
      <c r="N17" s="17">
        <f>AVERAGE(Tabla248[[#This Row],[Nota de Desarrollo Técnico]]:Tabla248[[#This Row],[Nota de Atención al asociado]])</f>
        <v>56.666666666666664</v>
      </c>
      <c r="O17" s="24"/>
      <c r="P17" s="19" t="s">
        <v>77</v>
      </c>
    </row>
    <row r="18" spans="1:16" ht="409.5" x14ac:dyDescent="0.3">
      <c r="A18" s="8">
        <f t="shared" si="0"/>
        <v>15</v>
      </c>
      <c r="B18" s="19" t="s">
        <v>16</v>
      </c>
      <c r="C18" s="42" t="s">
        <v>73</v>
      </c>
      <c r="D18" s="42" t="s">
        <v>78</v>
      </c>
      <c r="E18" s="42" t="s">
        <v>79</v>
      </c>
      <c r="F18" s="38">
        <v>46097</v>
      </c>
      <c r="G18" s="119" t="s">
        <v>218</v>
      </c>
      <c r="H18" s="43" t="s">
        <v>80</v>
      </c>
      <c r="I18" s="26" t="s">
        <v>27</v>
      </c>
      <c r="J18" s="30" t="s">
        <v>43</v>
      </c>
      <c r="K18" s="47">
        <v>76</v>
      </c>
      <c r="L18" s="34">
        <v>65</v>
      </c>
      <c r="M18" s="34">
        <v>71</v>
      </c>
      <c r="N18" s="35">
        <f>AVERAGE(Tabla248[[#This Row],[Nota de Desarrollo Técnico]]:Tabla248[[#This Row],[Nota de Atención al asociado]])</f>
        <v>70.666666666666671</v>
      </c>
      <c r="O18" s="24"/>
      <c r="P18" s="19" t="s">
        <v>81</v>
      </c>
    </row>
    <row r="19" spans="1:16" ht="409.5" x14ac:dyDescent="0.3">
      <c r="A19" s="8">
        <f t="shared" si="0"/>
        <v>16</v>
      </c>
      <c r="B19" s="9" t="s">
        <v>16</v>
      </c>
      <c r="C19" s="48" t="s">
        <v>82</v>
      </c>
      <c r="D19" s="48" t="s">
        <v>83</v>
      </c>
      <c r="E19" s="48" t="s">
        <v>41</v>
      </c>
      <c r="F19" s="11">
        <v>46097</v>
      </c>
      <c r="G19" s="119" t="s">
        <v>218</v>
      </c>
      <c r="H19" s="49" t="s">
        <v>84</v>
      </c>
      <c r="I19" s="50" t="s">
        <v>27</v>
      </c>
      <c r="J19" s="51" t="s">
        <v>43</v>
      </c>
      <c r="K19" s="47">
        <v>76</v>
      </c>
      <c r="L19" s="33">
        <v>55</v>
      </c>
      <c r="M19" s="33">
        <v>56</v>
      </c>
      <c r="N19" s="52">
        <f>AVERAGE(Tabla248[[#This Row],[Nota de Desarrollo Técnico]]:Tabla248[[#This Row],[Nota de Atención al asociado]])</f>
        <v>62.333333333333336</v>
      </c>
      <c r="O19" s="53"/>
      <c r="P19" s="19" t="s">
        <v>85</v>
      </c>
    </row>
    <row r="20" spans="1:16" ht="97.5" customHeight="1" x14ac:dyDescent="0.3">
      <c r="A20" s="8">
        <f t="shared" si="0"/>
        <v>17</v>
      </c>
      <c r="B20" s="19" t="s">
        <v>16</v>
      </c>
      <c r="C20" s="54" t="s">
        <v>51</v>
      </c>
      <c r="D20" s="54" t="s">
        <v>86</v>
      </c>
      <c r="E20" s="54" t="s">
        <v>19</v>
      </c>
      <c r="F20" s="38">
        <v>46097</v>
      </c>
      <c r="G20" s="120" t="s">
        <v>215</v>
      </c>
      <c r="H20" s="55" t="s">
        <v>87</v>
      </c>
      <c r="I20" s="26" t="s">
        <v>21</v>
      </c>
      <c r="J20" s="56" t="s">
        <v>88</v>
      </c>
      <c r="K20" s="12">
        <v>70</v>
      </c>
      <c r="L20" s="16" t="s">
        <v>89</v>
      </c>
      <c r="M20" s="41">
        <v>60</v>
      </c>
      <c r="N20" s="31">
        <f>AVERAGE(Tabla248[[#This Row],[Nota de Desarrollo Técnico]]:Tabla248[[#This Row],[Nota de Atención al asociado]])</f>
        <v>65</v>
      </c>
      <c r="O20" s="19"/>
      <c r="P20" s="57" t="s">
        <v>90</v>
      </c>
    </row>
    <row r="21" spans="1:16" ht="97.5" customHeight="1" x14ac:dyDescent="0.3">
      <c r="A21" s="8">
        <f t="shared" si="0"/>
        <v>18</v>
      </c>
      <c r="B21" s="19" t="s">
        <v>91</v>
      </c>
      <c r="C21" s="58" t="s">
        <v>55</v>
      </c>
      <c r="D21" s="59" t="s">
        <v>92</v>
      </c>
      <c r="E21" s="60" t="s">
        <v>93</v>
      </c>
      <c r="F21" s="61">
        <v>46118</v>
      </c>
      <c r="G21" s="121" t="s">
        <v>219</v>
      </c>
      <c r="H21" s="62"/>
      <c r="I21" s="26"/>
      <c r="J21" s="30" t="s">
        <v>94</v>
      </c>
      <c r="K21" s="12">
        <v>80</v>
      </c>
      <c r="L21" s="41">
        <v>51</v>
      </c>
      <c r="M21" s="41">
        <v>63</v>
      </c>
      <c r="N21" s="31">
        <f>AVERAGE(Tabla248[[#This Row],[Nota de Desarrollo Técnico]]:Tabla248[[#This Row],[Nota de Atención al asociado]])</f>
        <v>64.666666666666671</v>
      </c>
      <c r="O21" s="19"/>
      <c r="P21" s="57" t="s">
        <v>95</v>
      </c>
    </row>
    <row r="22" spans="1:16" ht="97.5" customHeight="1" x14ac:dyDescent="0.3">
      <c r="A22" s="8">
        <f t="shared" si="0"/>
        <v>19</v>
      </c>
      <c r="B22" s="18" t="s">
        <v>91</v>
      </c>
      <c r="C22" s="63" t="s">
        <v>60</v>
      </c>
      <c r="D22" s="64" t="s">
        <v>96</v>
      </c>
      <c r="E22" s="65" t="s">
        <v>19</v>
      </c>
      <c r="F22" s="66">
        <v>46118</v>
      </c>
      <c r="G22" s="122" t="s">
        <v>215</v>
      </c>
      <c r="H22" s="67"/>
      <c r="I22" s="68" t="s">
        <v>21</v>
      </c>
      <c r="J22" s="69" t="s">
        <v>97</v>
      </c>
      <c r="K22" s="70">
        <v>93</v>
      </c>
      <c r="L22" s="71"/>
      <c r="M22" s="71">
        <v>88</v>
      </c>
      <c r="N22" s="17">
        <f>AVERAGE(Tabla248[[#This Row],[Nota de Desarrollo Técnico]]:Tabla248[[#This Row],[Nota de Atención al asociado]])</f>
        <v>90.5</v>
      </c>
      <c r="O22" s="72"/>
      <c r="P22" s="57" t="s">
        <v>98</v>
      </c>
    </row>
    <row r="23" spans="1:16" ht="171" customHeight="1" x14ac:dyDescent="0.35">
      <c r="A23" s="8">
        <f t="shared" si="0"/>
        <v>20</v>
      </c>
      <c r="B23" s="19" t="s">
        <v>91</v>
      </c>
      <c r="C23" s="73" t="s">
        <v>99</v>
      </c>
      <c r="D23" s="74" t="s">
        <v>100</v>
      </c>
      <c r="E23" s="75" t="s">
        <v>79</v>
      </c>
      <c r="F23" s="76">
        <v>46118</v>
      </c>
      <c r="G23" s="123" t="s">
        <v>218</v>
      </c>
      <c r="H23" s="62" t="s">
        <v>101</v>
      </c>
      <c r="I23" s="26" t="s">
        <v>27</v>
      </c>
      <c r="J23" s="30" t="s">
        <v>100</v>
      </c>
      <c r="K23" s="46">
        <v>46</v>
      </c>
      <c r="L23" s="41">
        <v>25</v>
      </c>
      <c r="M23" s="41">
        <v>53</v>
      </c>
      <c r="N23" s="31">
        <f>AVERAGE(Tabla248[[#This Row],[Nota de Desarrollo Técnico]]:Tabla248[[#This Row],[Nota de Atención al asociado]])</f>
        <v>41.333333333333336</v>
      </c>
      <c r="O23" s="19"/>
      <c r="P23" s="57" t="s">
        <v>102</v>
      </c>
    </row>
    <row r="24" spans="1:16" ht="97.5" customHeight="1" x14ac:dyDescent="0.35">
      <c r="A24" s="8">
        <f t="shared" si="0"/>
        <v>21</v>
      </c>
      <c r="B24" s="19" t="s">
        <v>91</v>
      </c>
      <c r="C24" s="77" t="s">
        <v>99</v>
      </c>
      <c r="D24" s="74" t="s">
        <v>103</v>
      </c>
      <c r="E24" s="75" t="s">
        <v>75</v>
      </c>
      <c r="F24" s="76">
        <v>46118</v>
      </c>
      <c r="G24" s="123" t="s">
        <v>216</v>
      </c>
      <c r="H24" s="62"/>
      <c r="I24" s="26"/>
      <c r="J24" s="30" t="s">
        <v>104</v>
      </c>
      <c r="K24" s="12">
        <v>82</v>
      </c>
      <c r="L24" s="16">
        <v>74</v>
      </c>
      <c r="M24" s="16">
        <v>91</v>
      </c>
      <c r="N24" s="31">
        <f>AVERAGE(Tabla248[[#This Row],[Nota de Desarrollo Técnico]]:Tabla248[[#This Row],[Nota de Atención al asociado]])</f>
        <v>82.333333333333329</v>
      </c>
      <c r="O24" s="19"/>
      <c r="P24" s="57" t="s">
        <v>105</v>
      </c>
    </row>
    <row r="25" spans="1:16" ht="97.5" customHeight="1" x14ac:dyDescent="0.35">
      <c r="A25" s="8">
        <f t="shared" si="0"/>
        <v>22</v>
      </c>
      <c r="B25" s="19" t="s">
        <v>91</v>
      </c>
      <c r="C25" s="78" t="s">
        <v>106</v>
      </c>
      <c r="D25" s="74" t="s">
        <v>107</v>
      </c>
      <c r="E25" s="75" t="s">
        <v>93</v>
      </c>
      <c r="F25" s="76">
        <v>46118</v>
      </c>
      <c r="G25" s="123" t="s">
        <v>219</v>
      </c>
      <c r="H25" s="62"/>
      <c r="I25" s="26"/>
      <c r="J25" s="30" t="s">
        <v>104</v>
      </c>
      <c r="K25" s="12">
        <v>91</v>
      </c>
      <c r="L25" s="41">
        <v>65</v>
      </c>
      <c r="M25" s="16">
        <v>83</v>
      </c>
      <c r="N25" s="31">
        <f>AVERAGE(Tabla248[[#This Row],[Nota de Desarrollo Técnico]]:Tabla248[[#This Row],[Nota de Atención al asociado]])</f>
        <v>79.666666666666671</v>
      </c>
      <c r="O25" s="19"/>
      <c r="P25" s="57" t="s">
        <v>108</v>
      </c>
    </row>
    <row r="26" spans="1:16" ht="97.5" customHeight="1" x14ac:dyDescent="0.35">
      <c r="A26" s="8">
        <f t="shared" si="0"/>
        <v>23</v>
      </c>
      <c r="B26" s="19" t="s">
        <v>91</v>
      </c>
      <c r="C26" s="79" t="s">
        <v>109</v>
      </c>
      <c r="D26" s="80" t="s">
        <v>110</v>
      </c>
      <c r="E26" s="81" t="s">
        <v>19</v>
      </c>
      <c r="F26" s="76">
        <v>46118</v>
      </c>
      <c r="G26" s="123" t="s">
        <v>215</v>
      </c>
      <c r="H26" s="62"/>
      <c r="I26" s="26" t="s">
        <v>27</v>
      </c>
      <c r="J26" s="69" t="s">
        <v>111</v>
      </c>
      <c r="K26" s="12">
        <v>74</v>
      </c>
      <c r="L26" s="16"/>
      <c r="M26" s="16">
        <v>85</v>
      </c>
      <c r="N26" s="31">
        <f>AVERAGE(Tabla248[[#This Row],[Nota de Desarrollo Técnico]]:Tabla248[[#This Row],[Nota de Atención al asociado]])</f>
        <v>79.5</v>
      </c>
      <c r="O26" s="19"/>
      <c r="P26" s="57" t="s">
        <v>112</v>
      </c>
    </row>
    <row r="27" spans="1:16" ht="97.5" customHeight="1" x14ac:dyDescent="0.3">
      <c r="A27" s="8">
        <f t="shared" si="0"/>
        <v>24</v>
      </c>
      <c r="B27" s="19" t="s">
        <v>91</v>
      </c>
      <c r="C27" s="63" t="s">
        <v>109</v>
      </c>
      <c r="D27" s="82" t="s">
        <v>113</v>
      </c>
      <c r="E27" s="60" t="s">
        <v>19</v>
      </c>
      <c r="F27" s="76">
        <v>46118</v>
      </c>
      <c r="G27" s="123" t="s">
        <v>215</v>
      </c>
      <c r="H27" s="62"/>
      <c r="I27" s="26" t="s">
        <v>21</v>
      </c>
      <c r="J27" s="83" t="s">
        <v>114</v>
      </c>
      <c r="K27" s="12">
        <v>82</v>
      </c>
      <c r="L27" s="16"/>
      <c r="M27" s="16">
        <v>81</v>
      </c>
      <c r="N27" s="31">
        <f>AVERAGE(Tabla248[[#This Row],[Nota de Desarrollo Técnico]]:Tabla248[[#This Row],[Nota de Atención al asociado]])</f>
        <v>81.5</v>
      </c>
      <c r="O27" s="19"/>
      <c r="P27" s="57" t="s">
        <v>115</v>
      </c>
    </row>
    <row r="28" spans="1:16" ht="151.5" customHeight="1" x14ac:dyDescent="0.35">
      <c r="A28" s="8">
        <f t="shared" si="0"/>
        <v>25</v>
      </c>
      <c r="B28" s="19" t="s">
        <v>91</v>
      </c>
      <c r="C28" s="63" t="s">
        <v>99</v>
      </c>
      <c r="D28" s="84" t="s">
        <v>116</v>
      </c>
      <c r="E28" s="85" t="s">
        <v>25</v>
      </c>
      <c r="F28" s="61">
        <v>46132</v>
      </c>
      <c r="G28" s="121" t="s">
        <v>216</v>
      </c>
      <c r="H28" s="62"/>
      <c r="I28" s="26" t="s">
        <v>21</v>
      </c>
      <c r="J28" s="86" t="s">
        <v>117</v>
      </c>
      <c r="K28" s="12">
        <v>80</v>
      </c>
      <c r="L28" s="16">
        <v>80</v>
      </c>
      <c r="M28" s="16">
        <v>94</v>
      </c>
      <c r="N28" s="31">
        <f>AVERAGE(Tabla248[[#This Row],[Nota de Desarrollo Técnico]]:Tabla248[[#This Row],[Nota de Atención al asociado]])</f>
        <v>84.666666666666671</v>
      </c>
      <c r="O28" s="19"/>
      <c r="P28" s="19" t="s">
        <v>118</v>
      </c>
    </row>
    <row r="29" spans="1:16" ht="144.75" customHeight="1" x14ac:dyDescent="0.35">
      <c r="A29" s="8">
        <f t="shared" si="0"/>
        <v>26</v>
      </c>
      <c r="B29" s="19" t="s">
        <v>91</v>
      </c>
      <c r="C29" s="63" t="s">
        <v>119</v>
      </c>
      <c r="D29" s="84" t="s">
        <v>120</v>
      </c>
      <c r="E29" s="85" t="s">
        <v>41</v>
      </c>
      <c r="F29" s="61">
        <v>46132</v>
      </c>
      <c r="G29" s="121" t="s">
        <v>218</v>
      </c>
      <c r="H29" s="62"/>
      <c r="I29" s="26" t="s">
        <v>21</v>
      </c>
      <c r="J29" s="30" t="s">
        <v>121</v>
      </c>
      <c r="K29" s="12">
        <v>73</v>
      </c>
      <c r="L29" s="16">
        <v>75.38</v>
      </c>
      <c r="M29" s="16">
        <v>92</v>
      </c>
      <c r="N29" s="31">
        <f>AVERAGE(Tabla248[[#This Row],[Nota de Desarrollo Técnico]]:Tabla248[[#This Row],[Nota de Atención al asociado]])</f>
        <v>80.126666666666665</v>
      </c>
      <c r="O29" s="19"/>
      <c r="P29" s="19" t="s">
        <v>122</v>
      </c>
    </row>
    <row r="30" spans="1:16" ht="113.25" customHeight="1" x14ac:dyDescent="0.35">
      <c r="A30" s="8">
        <f t="shared" si="0"/>
        <v>27</v>
      </c>
      <c r="B30" s="19" t="s">
        <v>91</v>
      </c>
      <c r="C30" s="63" t="s">
        <v>64</v>
      </c>
      <c r="D30" s="84" t="s">
        <v>123</v>
      </c>
      <c r="E30" s="85" t="s">
        <v>34</v>
      </c>
      <c r="F30" s="61">
        <v>46132</v>
      </c>
      <c r="G30" s="121" t="s">
        <v>216</v>
      </c>
      <c r="H30" s="62"/>
      <c r="I30" s="26" t="s">
        <v>27</v>
      </c>
      <c r="J30" s="86" t="s">
        <v>117</v>
      </c>
      <c r="K30" s="12">
        <v>90</v>
      </c>
      <c r="L30" s="16">
        <v>93</v>
      </c>
      <c r="M30" s="16">
        <v>78</v>
      </c>
      <c r="N30" s="31">
        <f>AVERAGE(Tabla248[[#This Row],[Nota de Desarrollo Técnico]]:Tabla248[[#This Row],[Nota de Atención al asociado]])</f>
        <v>87</v>
      </c>
      <c r="O30" s="19"/>
      <c r="P30" s="19" t="s">
        <v>124</v>
      </c>
    </row>
    <row r="31" spans="1:16" ht="97.5" customHeight="1" x14ac:dyDescent="0.35">
      <c r="A31" s="8">
        <f t="shared" si="0"/>
        <v>28</v>
      </c>
      <c r="B31" s="19" t="s">
        <v>91</v>
      </c>
      <c r="C31" s="58" t="s">
        <v>64</v>
      </c>
      <c r="D31" s="84" t="s">
        <v>125</v>
      </c>
      <c r="E31" s="85" t="s">
        <v>19</v>
      </c>
      <c r="F31" s="61">
        <v>46132</v>
      </c>
      <c r="G31" s="121" t="s">
        <v>215</v>
      </c>
      <c r="H31" s="62"/>
      <c r="I31" s="26" t="s">
        <v>27</v>
      </c>
      <c r="J31" s="69" t="s">
        <v>126</v>
      </c>
      <c r="K31" s="12">
        <v>84</v>
      </c>
      <c r="L31" s="16"/>
      <c r="M31" s="16">
        <v>80</v>
      </c>
      <c r="N31" s="31">
        <f>AVERAGE(Tabla248[[#This Row],[Nota de Desarrollo Técnico]]:Tabla248[[#This Row],[Nota de Atención al asociado]])</f>
        <v>82</v>
      </c>
      <c r="O31" s="19"/>
      <c r="P31" s="19" t="s">
        <v>127</v>
      </c>
    </row>
    <row r="32" spans="1:16" ht="118.5" customHeight="1" x14ac:dyDescent="0.3">
      <c r="A32" s="8">
        <f t="shared" si="0"/>
        <v>29</v>
      </c>
      <c r="B32" s="19" t="s">
        <v>91</v>
      </c>
      <c r="C32" s="58" t="s">
        <v>128</v>
      </c>
      <c r="D32" s="58" t="s">
        <v>129</v>
      </c>
      <c r="E32" s="58" t="s">
        <v>130</v>
      </c>
      <c r="F32" s="87">
        <v>46097</v>
      </c>
      <c r="G32" s="124" t="s">
        <v>215</v>
      </c>
      <c r="H32" s="62"/>
      <c r="I32" s="26" t="s">
        <v>27</v>
      </c>
      <c r="J32" s="69" t="s">
        <v>131</v>
      </c>
      <c r="K32" s="12">
        <v>81</v>
      </c>
      <c r="L32" s="16"/>
      <c r="M32" s="16">
        <v>84</v>
      </c>
      <c r="N32" s="31">
        <f>AVERAGE(Tabla248[[#This Row],[Nota de Desarrollo Técnico]]:Tabla248[[#This Row],[Nota de Atención al asociado]])</f>
        <v>82.5</v>
      </c>
      <c r="O32" s="19"/>
      <c r="P32" s="19" t="s">
        <v>132</v>
      </c>
    </row>
    <row r="33" spans="1:16" ht="97.5" customHeight="1" x14ac:dyDescent="0.3">
      <c r="A33" s="8">
        <f t="shared" si="0"/>
        <v>30</v>
      </c>
      <c r="B33" s="19" t="s">
        <v>91</v>
      </c>
      <c r="C33" s="88" t="s">
        <v>106</v>
      </c>
      <c r="D33" s="89" t="s">
        <v>107</v>
      </c>
      <c r="E33" s="89" t="s">
        <v>133</v>
      </c>
      <c r="F33" s="90">
        <v>46118</v>
      </c>
      <c r="G33" s="125" t="s">
        <v>219</v>
      </c>
      <c r="H33" s="62"/>
      <c r="I33" s="26" t="s">
        <v>27</v>
      </c>
      <c r="J33" s="30" t="s">
        <v>134</v>
      </c>
      <c r="K33" s="12">
        <v>80</v>
      </c>
      <c r="L33" s="16">
        <v>75</v>
      </c>
      <c r="M33" s="16">
        <v>80</v>
      </c>
      <c r="N33" s="31">
        <f>AVERAGE(Tabla248[[#This Row],[Nota de Desarrollo Técnico]]:Tabla248[[#This Row],[Nota de Atención al asociado]])</f>
        <v>78.333333333333329</v>
      </c>
      <c r="O33" s="19"/>
      <c r="P33" s="19" t="s">
        <v>135</v>
      </c>
    </row>
    <row r="34" spans="1:16" ht="114.75" customHeight="1" x14ac:dyDescent="0.35">
      <c r="A34" s="8">
        <f t="shared" si="0"/>
        <v>31</v>
      </c>
      <c r="B34" s="19" t="s">
        <v>91</v>
      </c>
      <c r="C34" s="91" t="s">
        <v>99</v>
      </c>
      <c r="D34" s="89" t="s">
        <v>100</v>
      </c>
      <c r="E34" s="75" t="s">
        <v>79</v>
      </c>
      <c r="F34" s="90">
        <v>46118</v>
      </c>
      <c r="G34" s="125" t="s">
        <v>218</v>
      </c>
      <c r="H34" s="62"/>
      <c r="I34" s="26" t="s">
        <v>27</v>
      </c>
      <c r="J34" s="30" t="s">
        <v>136</v>
      </c>
      <c r="K34" s="12">
        <v>50</v>
      </c>
      <c r="L34" s="16">
        <v>58</v>
      </c>
      <c r="M34" s="16">
        <v>80</v>
      </c>
      <c r="N34" s="31">
        <f>AVERAGE(Tabla248[[#This Row],[Nota de Desarrollo Técnico]]:Tabla248[[#This Row],[Nota de Atención al asociado]])</f>
        <v>62.666666666666664</v>
      </c>
      <c r="O34" s="19"/>
      <c r="P34" s="19" t="s">
        <v>137</v>
      </c>
    </row>
    <row r="35" spans="1:16" ht="97.5" customHeight="1" x14ac:dyDescent="0.35">
      <c r="A35" s="8">
        <f t="shared" si="0"/>
        <v>32</v>
      </c>
      <c r="B35" s="19" t="s">
        <v>138</v>
      </c>
      <c r="C35" s="91" t="s">
        <v>99</v>
      </c>
      <c r="D35" s="89" t="s">
        <v>100</v>
      </c>
      <c r="E35" s="75" t="s">
        <v>79</v>
      </c>
      <c r="F35" s="90">
        <v>46146</v>
      </c>
      <c r="G35" s="125" t="s">
        <v>218</v>
      </c>
      <c r="H35" s="62"/>
      <c r="I35" s="26"/>
      <c r="J35" s="92"/>
      <c r="K35" s="26"/>
      <c r="L35" s="16">
        <v>55</v>
      </c>
      <c r="M35" s="16">
        <v>60</v>
      </c>
      <c r="N35" s="31">
        <f>AVERAGE(Tabla248[[#This Row],[Nota de Desarrollo Técnico]]:Tabla248[[#This Row],[Nota de Atención al asociado]])</f>
        <v>57.5</v>
      </c>
      <c r="O35" s="19"/>
      <c r="P35" s="19"/>
    </row>
    <row r="36" spans="1:16" ht="97.5" customHeight="1" x14ac:dyDescent="0.3">
      <c r="A36" s="8">
        <f t="shared" si="0"/>
        <v>33</v>
      </c>
      <c r="B36" s="19" t="s">
        <v>138</v>
      </c>
      <c r="C36" s="63" t="s">
        <v>55</v>
      </c>
      <c r="D36" s="82" t="s">
        <v>92</v>
      </c>
      <c r="E36" s="60" t="s">
        <v>93</v>
      </c>
      <c r="F36" s="90">
        <v>46146</v>
      </c>
      <c r="G36" s="125" t="s">
        <v>219</v>
      </c>
      <c r="H36" s="62"/>
      <c r="I36" s="26" t="s">
        <v>139</v>
      </c>
      <c r="J36" s="30" t="s">
        <v>140</v>
      </c>
      <c r="K36" s="12">
        <v>73</v>
      </c>
      <c r="L36" s="16">
        <v>47.5</v>
      </c>
      <c r="M36" s="16">
        <v>50</v>
      </c>
      <c r="N36" s="31">
        <f>AVERAGE(Tabla248[[#This Row],[Nota de Desarrollo Técnico]]:Tabla248[[#This Row],[Nota de Atención al asociado]])</f>
        <v>56.833333333333336</v>
      </c>
      <c r="O36" s="19"/>
      <c r="P36" s="19" t="s">
        <v>141</v>
      </c>
    </row>
    <row r="37" spans="1:16" ht="97.5" customHeight="1" x14ac:dyDescent="0.3">
      <c r="A37" s="8">
        <f t="shared" si="0"/>
        <v>34</v>
      </c>
      <c r="B37" s="9" t="s">
        <v>138</v>
      </c>
      <c r="C37" s="93" t="s">
        <v>142</v>
      </c>
      <c r="D37" s="89" t="s">
        <v>143</v>
      </c>
      <c r="E37" s="93" t="s">
        <v>19</v>
      </c>
      <c r="F37" s="90">
        <v>46146</v>
      </c>
      <c r="G37" s="125" t="s">
        <v>215</v>
      </c>
      <c r="H37" s="62"/>
      <c r="I37" s="26" t="s">
        <v>21</v>
      </c>
      <c r="J37" s="30" t="s">
        <v>144</v>
      </c>
      <c r="K37" s="12">
        <v>79</v>
      </c>
      <c r="L37" s="16"/>
      <c r="M37" s="16">
        <v>70</v>
      </c>
      <c r="N37" s="31">
        <f>AVERAGE(Tabla248[[#This Row],[Nota de Desarrollo Técnico]]:Tabla248[[#This Row],[Nota de Atención al asociado]])</f>
        <v>74.5</v>
      </c>
      <c r="O37" s="19"/>
      <c r="P37" s="19" t="s">
        <v>145</v>
      </c>
    </row>
    <row r="38" spans="1:16" ht="97.5" customHeight="1" x14ac:dyDescent="0.3">
      <c r="A38" s="8">
        <f t="shared" si="0"/>
        <v>35</v>
      </c>
      <c r="B38" s="9" t="s">
        <v>138</v>
      </c>
      <c r="C38" s="93" t="s">
        <v>146</v>
      </c>
      <c r="D38" s="94" t="s">
        <v>147</v>
      </c>
      <c r="E38" s="93" t="s">
        <v>34</v>
      </c>
      <c r="F38" s="90">
        <v>46146</v>
      </c>
      <c r="G38" s="125" t="s">
        <v>216</v>
      </c>
      <c r="H38" s="62"/>
      <c r="I38" s="26" t="s">
        <v>21</v>
      </c>
      <c r="J38" s="30" t="s">
        <v>148</v>
      </c>
      <c r="K38" s="12">
        <v>85</v>
      </c>
      <c r="L38" s="16">
        <v>77</v>
      </c>
      <c r="M38" s="16">
        <v>80</v>
      </c>
      <c r="N38" s="31">
        <f>AVERAGE(Tabla248[[#This Row],[Nota de Desarrollo Técnico]]:Tabla248[[#This Row],[Nota de Atención al asociado]])</f>
        <v>80.666666666666671</v>
      </c>
      <c r="O38" s="19"/>
      <c r="P38" s="19" t="s">
        <v>149</v>
      </c>
    </row>
    <row r="39" spans="1:16" ht="97.5" customHeight="1" x14ac:dyDescent="0.3">
      <c r="A39" s="8">
        <f t="shared" si="0"/>
        <v>36</v>
      </c>
      <c r="B39" s="9" t="s">
        <v>138</v>
      </c>
      <c r="C39" s="95" t="s">
        <v>150</v>
      </c>
      <c r="D39" s="81" t="s">
        <v>151</v>
      </c>
      <c r="E39" s="96" t="s">
        <v>34</v>
      </c>
      <c r="F39" s="90">
        <v>46160</v>
      </c>
      <c r="G39" s="125" t="s">
        <v>216</v>
      </c>
      <c r="H39" s="62"/>
      <c r="I39" s="26" t="s">
        <v>21</v>
      </c>
      <c r="J39" s="30" t="s">
        <v>152</v>
      </c>
      <c r="K39" s="12">
        <v>86</v>
      </c>
      <c r="L39" s="16">
        <v>91</v>
      </c>
      <c r="M39" s="16">
        <v>70</v>
      </c>
      <c r="N39" s="31">
        <f>AVERAGE(Tabla248[[#This Row],[Nota de Desarrollo Técnico]]:Tabla248[[#This Row],[Nota de Atención al asociado]])</f>
        <v>82.333333333333329</v>
      </c>
      <c r="O39" s="19"/>
      <c r="P39" s="19"/>
    </row>
    <row r="40" spans="1:16" ht="97.5" customHeight="1" x14ac:dyDescent="0.3">
      <c r="A40" s="8">
        <f t="shared" si="0"/>
        <v>37</v>
      </c>
      <c r="B40" s="9" t="s">
        <v>138</v>
      </c>
      <c r="C40" s="95" t="s">
        <v>153</v>
      </c>
      <c r="D40" s="81" t="s">
        <v>154</v>
      </c>
      <c r="E40" s="96" t="s">
        <v>155</v>
      </c>
      <c r="F40" s="90">
        <v>46160</v>
      </c>
      <c r="G40" s="126" t="s">
        <v>220</v>
      </c>
      <c r="H40" s="97"/>
      <c r="I40" s="26" t="s">
        <v>156</v>
      </c>
      <c r="J40" s="92"/>
      <c r="K40" s="98">
        <v>87</v>
      </c>
      <c r="L40" s="16"/>
      <c r="M40" s="16">
        <v>70</v>
      </c>
      <c r="N40" s="31">
        <f>AVERAGE(Tabla248[[#This Row],[Nota de Desarrollo Técnico]]:Tabla248[[#This Row],[Nota de Atención al asociado]])</f>
        <v>78.5</v>
      </c>
      <c r="O40" s="19"/>
      <c r="P40" s="19"/>
    </row>
    <row r="41" spans="1:16" ht="97.5" customHeight="1" x14ac:dyDescent="0.3">
      <c r="A41" s="8">
        <f t="shared" si="0"/>
        <v>38</v>
      </c>
      <c r="B41" s="9" t="s">
        <v>138</v>
      </c>
      <c r="C41" s="95" t="s">
        <v>55</v>
      </c>
      <c r="D41" s="81" t="s">
        <v>157</v>
      </c>
      <c r="E41" s="96" t="s">
        <v>34</v>
      </c>
      <c r="F41" s="90">
        <v>46160</v>
      </c>
      <c r="G41" s="125" t="s">
        <v>216</v>
      </c>
      <c r="H41" s="62"/>
      <c r="I41" s="68" t="s">
        <v>21</v>
      </c>
      <c r="J41" s="45" t="s">
        <v>158</v>
      </c>
      <c r="K41" s="12">
        <v>91</v>
      </c>
      <c r="L41" s="16">
        <v>94</v>
      </c>
      <c r="M41" s="16">
        <v>70</v>
      </c>
      <c r="N41" s="31">
        <f>AVERAGE(Tabla248[[#This Row],[Nota de Desarrollo Técnico]]:Tabla248[[#This Row],[Nota de Atención al asociado]])</f>
        <v>85</v>
      </c>
      <c r="O41" s="19"/>
      <c r="P41" s="19"/>
    </row>
    <row r="42" spans="1:16" ht="97.5" customHeight="1" x14ac:dyDescent="0.3">
      <c r="A42" s="8">
        <f t="shared" si="0"/>
        <v>39</v>
      </c>
      <c r="B42" s="9" t="s">
        <v>138</v>
      </c>
      <c r="C42" s="95" t="s">
        <v>159</v>
      </c>
      <c r="D42" s="81" t="s">
        <v>160</v>
      </c>
      <c r="E42" s="96" t="s">
        <v>31</v>
      </c>
      <c r="F42" s="90">
        <v>46160</v>
      </c>
      <c r="G42" s="125" t="s">
        <v>220</v>
      </c>
      <c r="H42" s="62"/>
      <c r="I42" s="26" t="s">
        <v>21</v>
      </c>
      <c r="J42" s="92"/>
      <c r="K42" s="12">
        <v>83</v>
      </c>
      <c r="L42" s="16"/>
      <c r="M42" s="16">
        <v>70</v>
      </c>
      <c r="N42" s="31">
        <f>AVERAGE(Tabla248[[#This Row],[Nota de Desarrollo Técnico]]:Tabla248[[#This Row],[Nota de Atención al asociado]])</f>
        <v>76.5</v>
      </c>
      <c r="O42" s="19"/>
      <c r="P42" s="19"/>
    </row>
    <row r="43" spans="1:16" ht="97.5" customHeight="1" x14ac:dyDescent="0.3">
      <c r="A43" s="8">
        <f t="shared" si="0"/>
        <v>40</v>
      </c>
      <c r="B43" s="9" t="s">
        <v>138</v>
      </c>
      <c r="C43" s="58" t="s">
        <v>82</v>
      </c>
      <c r="D43" s="99" t="s">
        <v>161</v>
      </c>
      <c r="E43" s="93" t="s">
        <v>19</v>
      </c>
      <c r="F43" s="90">
        <v>46167</v>
      </c>
      <c r="G43" s="125" t="s">
        <v>215</v>
      </c>
      <c r="H43" s="62"/>
      <c r="I43" s="50" t="s">
        <v>27</v>
      </c>
      <c r="J43" s="69" t="s">
        <v>162</v>
      </c>
      <c r="K43" s="12">
        <v>85</v>
      </c>
      <c r="L43" s="16"/>
      <c r="M43" s="16">
        <v>20</v>
      </c>
      <c r="N43" s="31">
        <f>AVERAGE(Tabla248[[#This Row],[Nota de Desarrollo Técnico]]:Tabla248[[#This Row],[Nota de Atención al asociado]])</f>
        <v>52.5</v>
      </c>
      <c r="O43" s="19"/>
      <c r="P43" s="19"/>
    </row>
    <row r="44" spans="1:16" ht="97.5" customHeight="1" x14ac:dyDescent="0.3">
      <c r="A44" s="8">
        <f t="shared" si="0"/>
        <v>41</v>
      </c>
      <c r="B44" s="9" t="s">
        <v>163</v>
      </c>
      <c r="C44" s="63" t="s">
        <v>164</v>
      </c>
      <c r="D44" s="63" t="s">
        <v>165</v>
      </c>
      <c r="E44" s="63" t="s">
        <v>34</v>
      </c>
      <c r="F44" s="90">
        <v>46174</v>
      </c>
      <c r="G44" s="126" t="s">
        <v>216</v>
      </c>
      <c r="H44" s="97" t="s">
        <v>166</v>
      </c>
      <c r="I44" s="26" t="s">
        <v>167</v>
      </c>
      <c r="J44" s="100"/>
      <c r="K44" s="12">
        <v>87</v>
      </c>
      <c r="L44" s="16">
        <v>50.11</v>
      </c>
      <c r="M44" s="16">
        <v>70</v>
      </c>
      <c r="N44" s="31">
        <f>AVERAGE(Tabla248[[#This Row],[Nota de Desarrollo Técnico]]:Tabla248[[#This Row],[Nota de Atención al asociado]])</f>
        <v>69.036666666666676</v>
      </c>
      <c r="O44" s="19"/>
      <c r="P44" s="19"/>
    </row>
    <row r="45" spans="1:16" ht="97.5" customHeight="1" x14ac:dyDescent="0.3">
      <c r="A45" s="8">
        <f t="shared" si="0"/>
        <v>42</v>
      </c>
      <c r="B45" s="9" t="s">
        <v>163</v>
      </c>
      <c r="C45" s="63" t="s">
        <v>60</v>
      </c>
      <c r="D45" s="63" t="s">
        <v>168</v>
      </c>
      <c r="E45" s="63" t="s">
        <v>31</v>
      </c>
      <c r="F45" s="90">
        <v>46174</v>
      </c>
      <c r="G45" s="126" t="s">
        <v>220</v>
      </c>
      <c r="H45" s="97" t="s">
        <v>169</v>
      </c>
      <c r="I45" s="26" t="s">
        <v>21</v>
      </c>
      <c r="J45" s="100"/>
      <c r="K45" s="12">
        <v>89.5</v>
      </c>
      <c r="L45" s="16"/>
      <c r="M45" s="16">
        <v>80</v>
      </c>
      <c r="N45" s="31">
        <f>AVERAGE(Tabla248[[#This Row],[Nota de Desarrollo Técnico]]:Tabla248[[#This Row],[Nota de Atención al asociado]])</f>
        <v>84.75</v>
      </c>
      <c r="O45" s="101" t="b">
        <v>0</v>
      </c>
      <c r="P45" s="19"/>
    </row>
    <row r="46" spans="1:16" ht="97.5" customHeight="1" x14ac:dyDescent="0.3">
      <c r="A46" s="8">
        <f t="shared" si="0"/>
        <v>43</v>
      </c>
      <c r="B46" s="9" t="s">
        <v>163</v>
      </c>
      <c r="C46" s="63" t="s">
        <v>164</v>
      </c>
      <c r="D46" s="58" t="s">
        <v>170</v>
      </c>
      <c r="E46" s="58" t="s">
        <v>93</v>
      </c>
      <c r="F46" s="90">
        <v>46174</v>
      </c>
      <c r="G46" s="126" t="s">
        <v>219</v>
      </c>
      <c r="H46" s="97" t="s">
        <v>171</v>
      </c>
      <c r="I46" s="26" t="s">
        <v>21</v>
      </c>
      <c r="J46" s="100"/>
      <c r="K46" s="12">
        <v>81</v>
      </c>
      <c r="L46" s="16">
        <v>50.4</v>
      </c>
      <c r="M46" s="16">
        <v>60</v>
      </c>
      <c r="N46" s="31">
        <f>AVERAGE(Tabla248[[#This Row],[Nota de Desarrollo Técnico]]:Tabla248[[#This Row],[Nota de Atención al asociado]])</f>
        <v>63.800000000000004</v>
      </c>
      <c r="O46" s="19"/>
      <c r="P46" s="19"/>
    </row>
    <row r="47" spans="1:16" ht="97.5" customHeight="1" x14ac:dyDescent="0.3">
      <c r="A47" s="8">
        <f t="shared" si="0"/>
        <v>44</v>
      </c>
      <c r="B47" s="9" t="s">
        <v>163</v>
      </c>
      <c r="C47" s="58" t="s">
        <v>172</v>
      </c>
      <c r="D47" s="102" t="s">
        <v>173</v>
      </c>
      <c r="E47" s="102" t="s">
        <v>19</v>
      </c>
      <c r="F47" s="90">
        <v>46174</v>
      </c>
      <c r="G47" s="126" t="s">
        <v>215</v>
      </c>
      <c r="H47" s="97" t="s">
        <v>174</v>
      </c>
      <c r="I47" s="26" t="s">
        <v>21</v>
      </c>
      <c r="J47" s="69" t="s">
        <v>175</v>
      </c>
      <c r="K47" s="12">
        <v>84.15</v>
      </c>
      <c r="L47" s="16"/>
      <c r="M47" s="16">
        <v>80</v>
      </c>
      <c r="N47" s="103">
        <f>AVERAGE(Tabla248[[#This Row],[Nota de Desarrollo Técnico]]:Tabla248[[#This Row],[Nota de Atención al asociado]])</f>
        <v>82.075000000000003</v>
      </c>
      <c r="O47" s="101" t="b">
        <v>0</v>
      </c>
      <c r="P47" s="19"/>
    </row>
    <row r="48" spans="1:16" ht="97.5" customHeight="1" x14ac:dyDescent="0.3">
      <c r="A48" s="8">
        <f t="shared" si="0"/>
        <v>45</v>
      </c>
      <c r="B48" s="9" t="s">
        <v>163</v>
      </c>
      <c r="C48" s="89" t="s">
        <v>176</v>
      </c>
      <c r="D48" s="10" t="s">
        <v>177</v>
      </c>
      <c r="E48" s="10" t="s">
        <v>178</v>
      </c>
      <c r="F48" s="90">
        <v>46188</v>
      </c>
      <c r="G48" s="90" t="s">
        <v>218</v>
      </c>
      <c r="H48" s="62" t="s">
        <v>179</v>
      </c>
      <c r="I48" s="26" t="s">
        <v>27</v>
      </c>
      <c r="J48" s="92"/>
      <c r="K48" s="26"/>
      <c r="L48" s="16"/>
      <c r="M48" s="16"/>
      <c r="N48" s="31" t="e">
        <f>AVERAGE(Tabla248[[#This Row],[Nota de Desarrollo Técnico]]:Tabla248[[#This Row],[Nota de Atención al asociado]])</f>
        <v>#DIV/0!</v>
      </c>
      <c r="O48" s="101" t="b">
        <v>0</v>
      </c>
      <c r="P48" s="19"/>
    </row>
    <row r="49" spans="1:16" ht="97.5" customHeight="1" x14ac:dyDescent="0.3">
      <c r="A49" s="8">
        <f t="shared" si="0"/>
        <v>46</v>
      </c>
      <c r="B49" s="9" t="s">
        <v>163</v>
      </c>
      <c r="C49" s="89" t="s">
        <v>176</v>
      </c>
      <c r="D49" s="89" t="s">
        <v>180</v>
      </c>
      <c r="E49" s="93" t="s">
        <v>41</v>
      </c>
      <c r="F49" s="90">
        <v>46188</v>
      </c>
      <c r="G49" s="117" t="s">
        <v>218</v>
      </c>
      <c r="H49" s="97" t="s">
        <v>181</v>
      </c>
      <c r="I49" s="26" t="s">
        <v>27</v>
      </c>
      <c r="J49" s="100"/>
      <c r="K49" s="26"/>
      <c r="L49" s="16"/>
      <c r="M49" s="16"/>
      <c r="N49" s="31" t="e">
        <f>AVERAGE(Tabla248[[#This Row],[Nota de Desarrollo Técnico]]:Tabla248[[#This Row],[Nota de Atención al asociado]])</f>
        <v>#DIV/0!</v>
      </c>
      <c r="O49" s="101" t="b">
        <v>0</v>
      </c>
      <c r="P49" s="19"/>
    </row>
    <row r="50" spans="1:16" ht="97.5" customHeight="1" x14ac:dyDescent="0.3">
      <c r="A50" s="8">
        <f t="shared" si="0"/>
        <v>47</v>
      </c>
      <c r="B50" s="9" t="s">
        <v>163</v>
      </c>
      <c r="C50" s="89" t="s">
        <v>176</v>
      </c>
      <c r="D50" s="89" t="s">
        <v>182</v>
      </c>
      <c r="E50" s="93" t="s">
        <v>41</v>
      </c>
      <c r="F50" s="90">
        <v>46188</v>
      </c>
      <c r="G50" s="90" t="s">
        <v>218</v>
      </c>
      <c r="H50" s="62" t="s">
        <v>183</v>
      </c>
      <c r="I50" s="26" t="s">
        <v>27</v>
      </c>
      <c r="J50" s="92"/>
      <c r="K50" s="26"/>
      <c r="L50" s="16"/>
      <c r="M50" s="16"/>
      <c r="N50" s="31" t="e">
        <f>AVERAGE(Tabla248[[#This Row],[Nota de Desarrollo Técnico]]:Tabla248[[#This Row],[Nota de Atención al asociado]])</f>
        <v>#DIV/0!</v>
      </c>
      <c r="O50" s="101" t="b">
        <v>0</v>
      </c>
      <c r="P50" s="19"/>
    </row>
    <row r="51" spans="1:16" ht="97.5" customHeight="1" x14ac:dyDescent="0.3">
      <c r="A51" s="8">
        <f t="shared" si="0"/>
        <v>48</v>
      </c>
      <c r="B51" s="9" t="s">
        <v>163</v>
      </c>
      <c r="C51" s="89" t="s">
        <v>176</v>
      </c>
      <c r="D51" s="89" t="s">
        <v>184</v>
      </c>
      <c r="E51" s="93" t="s">
        <v>25</v>
      </c>
      <c r="F51" s="90">
        <v>46188</v>
      </c>
      <c r="G51" s="90" t="s">
        <v>216</v>
      </c>
      <c r="H51" s="62" t="s">
        <v>185</v>
      </c>
      <c r="I51" s="68" t="s">
        <v>27</v>
      </c>
      <c r="J51" s="92"/>
      <c r="K51" s="26"/>
      <c r="L51" s="16"/>
      <c r="M51" s="16"/>
      <c r="N51" s="31" t="e">
        <f>AVERAGE(Tabla248[[#This Row],[Nota de Desarrollo Técnico]]:Tabla248[[#This Row],[Nota de Atención al asociado]])</f>
        <v>#DIV/0!</v>
      </c>
      <c r="O51" s="101" t="b">
        <v>0</v>
      </c>
      <c r="P51" s="19"/>
    </row>
    <row r="52" spans="1:16" ht="97.5" customHeight="1" x14ac:dyDescent="0.3">
      <c r="A52" s="8">
        <f t="shared" si="0"/>
        <v>49</v>
      </c>
      <c r="B52" s="9" t="s">
        <v>163</v>
      </c>
      <c r="C52" s="89" t="s">
        <v>176</v>
      </c>
      <c r="D52" s="89" t="s">
        <v>186</v>
      </c>
      <c r="E52" s="93" t="s">
        <v>34</v>
      </c>
      <c r="F52" s="90">
        <v>46188</v>
      </c>
      <c r="G52" s="90" t="s">
        <v>216</v>
      </c>
      <c r="H52" s="62" t="s">
        <v>187</v>
      </c>
      <c r="I52" s="26" t="s">
        <v>27</v>
      </c>
      <c r="J52" s="92"/>
      <c r="K52" s="26"/>
      <c r="L52" s="16"/>
      <c r="M52" s="16"/>
      <c r="N52" s="31" t="e">
        <f>AVERAGE(Tabla248[[#This Row],[Nota de Desarrollo Técnico]]:Tabla248[[#This Row],[Nota de Atención al asociado]])</f>
        <v>#DIV/0!</v>
      </c>
      <c r="O52" s="101" t="b">
        <v>0</v>
      </c>
      <c r="P52" s="19"/>
    </row>
    <row r="53" spans="1:16" ht="97.5" customHeight="1" x14ac:dyDescent="0.3">
      <c r="A53" s="8">
        <f t="shared" si="0"/>
        <v>50</v>
      </c>
      <c r="B53" s="9" t="s">
        <v>163</v>
      </c>
      <c r="C53" s="89" t="s">
        <v>176</v>
      </c>
      <c r="D53" s="89" t="s">
        <v>188</v>
      </c>
      <c r="E53" s="93" t="s">
        <v>34</v>
      </c>
      <c r="F53" s="90">
        <v>46188</v>
      </c>
      <c r="G53" s="90" t="s">
        <v>216</v>
      </c>
      <c r="H53" s="62" t="s">
        <v>189</v>
      </c>
      <c r="I53" s="26" t="s">
        <v>27</v>
      </c>
      <c r="J53" s="92"/>
      <c r="K53" s="26"/>
      <c r="L53" s="16"/>
      <c r="M53" s="16"/>
      <c r="N53" s="31" t="e">
        <f>AVERAGE(Tabla248[[#This Row],[Nota de Desarrollo Técnico]]:Tabla248[[#This Row],[Nota de Atención al asociado]])</f>
        <v>#DIV/0!</v>
      </c>
      <c r="O53" s="101" t="b">
        <v>0</v>
      </c>
      <c r="P53" s="19"/>
    </row>
    <row r="54" spans="1:16" ht="97.5" customHeight="1" x14ac:dyDescent="0.3">
      <c r="A54" s="8">
        <f t="shared" si="0"/>
        <v>51</v>
      </c>
      <c r="B54" s="9" t="s">
        <v>163</v>
      </c>
      <c r="C54" s="89" t="s">
        <v>176</v>
      </c>
      <c r="D54" s="89" t="s">
        <v>190</v>
      </c>
      <c r="E54" s="93" t="s">
        <v>34</v>
      </c>
      <c r="F54" s="90">
        <v>46188</v>
      </c>
      <c r="G54" s="90" t="s">
        <v>216</v>
      </c>
      <c r="H54" s="62" t="s">
        <v>191</v>
      </c>
      <c r="I54" s="26" t="s">
        <v>27</v>
      </c>
      <c r="J54" s="92"/>
      <c r="K54" s="26"/>
      <c r="L54" s="16"/>
      <c r="M54" s="16"/>
      <c r="N54" s="31" t="e">
        <f>AVERAGE(Tabla248[[#This Row],[Nota de Desarrollo Técnico]]:Tabla248[[#This Row],[Nota de Atención al asociado]])</f>
        <v>#DIV/0!</v>
      </c>
      <c r="O54" s="101" t="b">
        <v>0</v>
      </c>
      <c r="P54" s="19"/>
    </row>
    <row r="55" spans="1:16" ht="97.5" customHeight="1" x14ac:dyDescent="0.3">
      <c r="A55" s="8">
        <f t="shared" si="0"/>
        <v>52</v>
      </c>
      <c r="B55" s="9" t="s">
        <v>163</v>
      </c>
      <c r="C55" s="89" t="s">
        <v>176</v>
      </c>
      <c r="D55" s="89" t="s">
        <v>192</v>
      </c>
      <c r="E55" s="93" t="s">
        <v>93</v>
      </c>
      <c r="F55" s="90">
        <v>46188</v>
      </c>
      <c r="G55" s="126" t="s">
        <v>219</v>
      </c>
      <c r="H55" s="62" t="s">
        <v>193</v>
      </c>
      <c r="I55" s="26" t="s">
        <v>27</v>
      </c>
      <c r="J55" s="92"/>
      <c r="K55" s="26"/>
      <c r="L55" s="16"/>
      <c r="M55" s="16"/>
      <c r="N55" s="31" t="e">
        <f>AVERAGE(Tabla248[[#This Row],[Nota de Desarrollo Técnico]]:Tabla248[[#This Row],[Nota de Atención al asociado]])</f>
        <v>#DIV/0!</v>
      </c>
      <c r="O55" s="101" t="b">
        <v>0</v>
      </c>
      <c r="P55" s="19"/>
    </row>
    <row r="56" spans="1:16" ht="97.5" customHeight="1" x14ac:dyDescent="0.3">
      <c r="A56" s="8">
        <f t="shared" si="0"/>
        <v>53</v>
      </c>
      <c r="B56" s="9" t="s">
        <v>163</v>
      </c>
      <c r="C56" s="89" t="s">
        <v>176</v>
      </c>
      <c r="D56" s="89" t="s">
        <v>194</v>
      </c>
      <c r="E56" s="93" t="s">
        <v>19</v>
      </c>
      <c r="F56" s="90">
        <v>46188</v>
      </c>
      <c r="G56" s="126" t="s">
        <v>215</v>
      </c>
      <c r="H56" s="62" t="s">
        <v>195</v>
      </c>
      <c r="I56" s="26" t="s">
        <v>27</v>
      </c>
      <c r="J56" s="92"/>
      <c r="K56" s="26"/>
      <c r="L56" s="16"/>
      <c r="M56" s="16"/>
      <c r="N56" s="31" t="e">
        <f>AVERAGE(Tabla248[[#This Row],[Nota de Desarrollo Técnico]]:Tabla248[[#This Row],[Nota de Atención al asociado]])</f>
        <v>#DIV/0!</v>
      </c>
      <c r="O56" s="101" t="b">
        <v>0</v>
      </c>
      <c r="P56" s="19"/>
    </row>
    <row r="57" spans="1:16" ht="97.5" customHeight="1" x14ac:dyDescent="0.3">
      <c r="A57" s="8">
        <f t="shared" si="0"/>
        <v>54</v>
      </c>
      <c r="B57" s="9" t="s">
        <v>163</v>
      </c>
      <c r="C57" s="89" t="s">
        <v>176</v>
      </c>
      <c r="D57" s="89" t="s">
        <v>196</v>
      </c>
      <c r="E57" s="93" t="s">
        <v>31</v>
      </c>
      <c r="F57" s="90">
        <v>46188</v>
      </c>
      <c r="G57" s="126" t="s">
        <v>220</v>
      </c>
      <c r="H57" s="62" t="s">
        <v>197</v>
      </c>
      <c r="I57" s="26" t="s">
        <v>27</v>
      </c>
      <c r="J57" s="92"/>
      <c r="K57" s="26"/>
      <c r="L57" s="16"/>
      <c r="M57" s="16"/>
      <c r="N57" s="31" t="e">
        <f>AVERAGE(Tabla248[[#This Row],[Nota de Desarrollo Técnico]]:Tabla248[[#This Row],[Nota de Atención al asociado]])</f>
        <v>#DIV/0!</v>
      </c>
      <c r="O57" s="101" t="b">
        <v>0</v>
      </c>
      <c r="P57" s="19"/>
    </row>
    <row r="58" spans="1:16" ht="97.5" customHeight="1" x14ac:dyDescent="0.3">
      <c r="A58" s="8">
        <f t="shared" si="0"/>
        <v>55</v>
      </c>
      <c r="B58" s="9" t="s">
        <v>163</v>
      </c>
      <c r="C58" s="89" t="s">
        <v>23</v>
      </c>
      <c r="D58" s="89" t="s">
        <v>198</v>
      </c>
      <c r="E58" s="93" t="s">
        <v>19</v>
      </c>
      <c r="F58" s="90">
        <v>46188</v>
      </c>
      <c r="G58" s="90" t="s">
        <v>215</v>
      </c>
      <c r="H58" s="62" t="s">
        <v>199</v>
      </c>
      <c r="I58" s="26" t="s">
        <v>27</v>
      </c>
      <c r="J58" s="92"/>
      <c r="K58" s="26"/>
      <c r="L58" s="16"/>
      <c r="M58" s="16"/>
      <c r="N58" s="31" t="e">
        <f>AVERAGE(Tabla248[[#This Row],[Nota de Desarrollo Técnico]]:Tabla248[[#This Row],[Nota de Atención al asociado]])</f>
        <v>#DIV/0!</v>
      </c>
      <c r="O58" s="101" t="b">
        <v>0</v>
      </c>
      <c r="P58" s="19"/>
    </row>
    <row r="59" spans="1:16" ht="97.5" customHeight="1" x14ac:dyDescent="0.3">
      <c r="A59" s="8">
        <f t="shared" si="0"/>
        <v>56</v>
      </c>
      <c r="B59" s="9" t="s">
        <v>163</v>
      </c>
      <c r="C59" s="89" t="s">
        <v>99</v>
      </c>
      <c r="D59" s="89" t="s">
        <v>200</v>
      </c>
      <c r="E59" s="93" t="s">
        <v>34</v>
      </c>
      <c r="F59" s="90">
        <v>46188</v>
      </c>
      <c r="G59" s="90" t="s">
        <v>216</v>
      </c>
      <c r="H59" s="62" t="s">
        <v>201</v>
      </c>
      <c r="I59" s="26" t="s">
        <v>21</v>
      </c>
      <c r="J59" s="92"/>
      <c r="K59" s="26"/>
      <c r="L59" s="16"/>
      <c r="M59" s="16"/>
      <c r="N59" s="31" t="e">
        <f>AVERAGE(Tabla248[[#This Row],[Nota de Desarrollo Técnico]]:Tabla248[[#This Row],[Nota de Atención al asociado]])</f>
        <v>#DIV/0!</v>
      </c>
      <c r="O59" s="101" t="b">
        <v>0</v>
      </c>
      <c r="P59" s="19"/>
    </row>
    <row r="60" spans="1:16" ht="97.5" customHeight="1" x14ac:dyDescent="0.3">
      <c r="A60" s="8">
        <f t="shared" si="0"/>
        <v>57</v>
      </c>
      <c r="B60" s="9" t="s">
        <v>163</v>
      </c>
      <c r="C60" s="89" t="s">
        <v>202</v>
      </c>
      <c r="D60" s="89" t="s">
        <v>203</v>
      </c>
      <c r="E60" s="93" t="s">
        <v>19</v>
      </c>
      <c r="F60" s="90">
        <v>46188</v>
      </c>
      <c r="G60" s="90" t="s">
        <v>215</v>
      </c>
      <c r="H60" s="62" t="s">
        <v>204</v>
      </c>
      <c r="I60" s="26" t="s">
        <v>27</v>
      </c>
      <c r="J60" s="92"/>
      <c r="K60" s="26"/>
      <c r="L60" s="16"/>
      <c r="M60" s="16"/>
      <c r="N60" s="31" t="e">
        <f>AVERAGE(Tabla248[[#This Row],[Nota de Desarrollo Técnico]]:Tabla248[[#This Row],[Nota de Atención al asociado]])</f>
        <v>#DIV/0!</v>
      </c>
      <c r="O60" s="101" t="b">
        <v>0</v>
      </c>
      <c r="P60" s="19"/>
    </row>
    <row r="61" spans="1:16" ht="97.5" customHeight="1" x14ac:dyDescent="0.3">
      <c r="A61" s="8">
        <f t="shared" si="0"/>
        <v>58</v>
      </c>
      <c r="B61" s="9" t="s">
        <v>163</v>
      </c>
      <c r="C61" s="89" t="s">
        <v>51</v>
      </c>
      <c r="D61" s="89" t="s">
        <v>205</v>
      </c>
      <c r="E61" s="93" t="s">
        <v>19</v>
      </c>
      <c r="F61" s="90">
        <v>46188</v>
      </c>
      <c r="G61" s="90" t="s">
        <v>215</v>
      </c>
      <c r="H61" s="62" t="s">
        <v>206</v>
      </c>
      <c r="I61" s="26" t="s">
        <v>21</v>
      </c>
      <c r="J61" s="92"/>
      <c r="K61" s="26"/>
      <c r="L61" s="16"/>
      <c r="M61" s="16"/>
      <c r="N61" s="31" t="e">
        <f>AVERAGE(Tabla248[[#This Row],[Nota de Desarrollo Técnico]]:Tabla248[[#This Row],[Nota de Atención al asociado]])</f>
        <v>#DIV/0!</v>
      </c>
      <c r="O61" s="101" t="b">
        <v>0</v>
      </c>
      <c r="P61" s="19"/>
    </row>
    <row r="62" spans="1:16" ht="97.5" customHeight="1" x14ac:dyDescent="0.3">
      <c r="A62" s="8">
        <f t="shared" si="0"/>
        <v>59</v>
      </c>
      <c r="B62" s="9" t="s">
        <v>163</v>
      </c>
      <c r="C62" s="89" t="s">
        <v>207</v>
      </c>
      <c r="D62" s="89" t="s">
        <v>208</v>
      </c>
      <c r="E62" s="93" t="s">
        <v>41</v>
      </c>
      <c r="F62" s="90">
        <v>46188</v>
      </c>
      <c r="G62" s="90" t="s">
        <v>218</v>
      </c>
      <c r="H62" s="62" t="s">
        <v>209</v>
      </c>
      <c r="I62" s="26" t="s">
        <v>210</v>
      </c>
      <c r="J62" s="92"/>
      <c r="K62" s="26"/>
      <c r="L62" s="16"/>
      <c r="M62" s="16"/>
      <c r="N62" s="31" t="e">
        <f>AVERAGE(Tabla248[[#This Row],[Nota de Desarrollo Técnico]]:Tabla248[[#This Row],[Nota de Atención al asociado]])</f>
        <v>#DIV/0!</v>
      </c>
      <c r="O62" s="101" t="b">
        <v>0</v>
      </c>
      <c r="P62" s="19"/>
    </row>
    <row r="63" spans="1:16" ht="97.5" customHeight="1" x14ac:dyDescent="0.3">
      <c r="A63" s="8">
        <f t="shared" si="0"/>
        <v>60</v>
      </c>
      <c r="B63" s="9" t="s">
        <v>163</v>
      </c>
      <c r="C63" s="89" t="s">
        <v>211</v>
      </c>
      <c r="D63" s="89" t="s">
        <v>212</v>
      </c>
      <c r="E63" s="93" t="s">
        <v>41</v>
      </c>
      <c r="F63" s="90">
        <v>46188</v>
      </c>
      <c r="G63" s="90" t="s">
        <v>218</v>
      </c>
      <c r="H63" s="62">
        <v>39241566</v>
      </c>
      <c r="I63" s="26" t="s">
        <v>210</v>
      </c>
      <c r="J63" s="92"/>
      <c r="K63" s="26"/>
      <c r="L63" s="16"/>
      <c r="M63" s="16"/>
      <c r="N63" s="31" t="e">
        <f>AVERAGE(Tabla248[[#This Row],[Nota de Desarrollo Técnico]]:Tabla248[[#This Row],[Nota de Atención al asociado]])</f>
        <v>#DIV/0!</v>
      </c>
      <c r="O63" s="101" t="b">
        <v>0</v>
      </c>
      <c r="P63" s="19"/>
    </row>
    <row r="64" spans="1:16" ht="97.5" customHeight="1" x14ac:dyDescent="0.3">
      <c r="A64" s="8">
        <f t="shared" si="0"/>
        <v>61</v>
      </c>
      <c r="B64" s="9"/>
      <c r="C64" s="89"/>
      <c r="D64" s="89"/>
      <c r="E64" s="93"/>
      <c r="F64" s="90"/>
      <c r="G64" s="90"/>
      <c r="H64" s="62"/>
      <c r="I64" s="26"/>
      <c r="J64" s="92"/>
      <c r="K64" s="26"/>
      <c r="L64" s="16"/>
      <c r="M64" s="16"/>
      <c r="N64" s="31" t="e">
        <f>AVERAGE(Tabla248[[#This Row],[Nota de Desarrollo Técnico]]:Tabla248[[#This Row],[Nota de Atención al asociado]])</f>
        <v>#DIV/0!</v>
      </c>
      <c r="O64" s="101" t="b">
        <v>0</v>
      </c>
      <c r="P64" s="19"/>
    </row>
    <row r="65" spans="1:16" ht="39" customHeight="1" x14ac:dyDescent="0.3">
      <c r="A65" s="104"/>
      <c r="B65" s="105"/>
      <c r="C65" s="106"/>
      <c r="D65" s="106"/>
      <c r="E65" s="107" t="s">
        <v>213</v>
      </c>
      <c r="F65" s="108"/>
      <c r="G65" s="108"/>
      <c r="H65" s="109"/>
      <c r="I65" s="110"/>
      <c r="J65" s="110"/>
      <c r="K65" s="111">
        <f>AVERAGE(K4:K34)</f>
        <v>74.290322580645167</v>
      </c>
      <c r="L65" s="112">
        <f>AVERAGE(L4:L34)</f>
        <v>69.412380952380943</v>
      </c>
      <c r="M65" s="112">
        <f>AVERAGE(M4:M34)</f>
        <v>77.428571428571431</v>
      </c>
      <c r="N65" s="113">
        <f>AVERAGE(N4:N34)</f>
        <v>74.781290322580659</v>
      </c>
      <c r="O65" s="114">
        <v>0</v>
      </c>
      <c r="P65" s="9"/>
    </row>
  </sheetData>
  <mergeCells count="1">
    <mergeCell ref="A1:O2"/>
  </mergeCells>
  <conditionalFormatting sqref="D21:D22 D27">
    <cfRule type="containsText" dxfId="13" priority="14" operator="containsText" text="Confirmado">
      <formula>NOT(ISERROR(SEARCH("Confirmado",D21)))</formula>
    </cfRule>
  </conditionalFormatting>
  <conditionalFormatting sqref="D21:D22 D27">
    <cfRule type="containsText" dxfId="12" priority="13" operator="containsText" text="Abandono de labores">
      <formula>NOT(ISERROR(SEARCH("Abandono de labores",D21)))</formula>
    </cfRule>
  </conditionalFormatting>
  <conditionalFormatting sqref="D21:D22 D27">
    <cfRule type="containsText" dxfId="11" priority="12" operator="containsText" text="Renuncia">
      <formula>NOT(ISERROR(SEARCH("Renuncia",D21)))</formula>
    </cfRule>
  </conditionalFormatting>
  <conditionalFormatting sqref="D21:D22 D27">
    <cfRule type="containsText" dxfId="10" priority="11" operator="containsText" text="Interinato">
      <formula>NOT(ISERROR(SEARCH("Interinato",D21)))</formula>
    </cfRule>
  </conditionalFormatting>
  <conditionalFormatting sqref="D21:D22 D27">
    <cfRule type="containsText" dxfId="9" priority="10" operator="containsText" text="Dado de Baja">
      <formula>NOT(ISERROR(SEARCH("Dado de Baja",D21)))</formula>
    </cfRule>
  </conditionalFormatting>
  <conditionalFormatting sqref="D21:D22 D27">
    <cfRule type="containsText" dxfId="8" priority="9" operator="containsText" text="Un mes más de prueba">
      <formula>NOT(ISERROR(SEARCH("Un mes más de prueba",D21)))</formula>
    </cfRule>
  </conditionalFormatting>
  <conditionalFormatting sqref="D21:D22 D27">
    <cfRule type="containsText" dxfId="7" priority="8" operator="containsText" text="Período de Prueba">
      <formula>NOT(ISERROR(SEARCH("Período de Prueba",D21)))</formula>
    </cfRule>
  </conditionalFormatting>
  <conditionalFormatting sqref="D36">
    <cfRule type="containsText" dxfId="6" priority="7" operator="containsText" text="Confirmado">
      <formula>NOT(ISERROR(SEARCH("Confirmado",D36)))</formula>
    </cfRule>
  </conditionalFormatting>
  <conditionalFormatting sqref="D36">
    <cfRule type="containsText" dxfId="5" priority="6" operator="containsText" text="Abandono de labores">
      <formula>NOT(ISERROR(SEARCH("Abandono de labores",D36)))</formula>
    </cfRule>
  </conditionalFormatting>
  <conditionalFormatting sqref="D36">
    <cfRule type="containsText" dxfId="4" priority="5" operator="containsText" text="Renuncia">
      <formula>NOT(ISERROR(SEARCH("Renuncia",D36)))</formula>
    </cfRule>
  </conditionalFormatting>
  <conditionalFormatting sqref="D36">
    <cfRule type="containsText" dxfId="3" priority="4" operator="containsText" text="Interinato">
      <formula>NOT(ISERROR(SEARCH("Interinato",D36)))</formula>
    </cfRule>
  </conditionalFormatting>
  <conditionalFormatting sqref="D36">
    <cfRule type="containsText" dxfId="2" priority="3" operator="containsText" text="Dado de Baja">
      <formula>NOT(ISERROR(SEARCH("Dado de Baja",D36)))</formula>
    </cfRule>
  </conditionalFormatting>
  <conditionalFormatting sqref="D36">
    <cfRule type="containsText" dxfId="1" priority="2" operator="containsText" text="Un mes más de prueba">
      <formula>NOT(ISERROR(SEARCH("Un mes más de prueba",D36)))</formula>
    </cfRule>
  </conditionalFormatting>
  <conditionalFormatting sqref="D36">
    <cfRule type="containsText" dxfId="0" priority="1" operator="containsText" text="Período de Prueba">
      <formula>NOT(ISERROR(SEARCH("Período de Prueba",D36)))</formula>
    </cfRule>
  </conditionalFormatting>
  <dataValidations count="3">
    <dataValidation type="list" allowBlank="1" showInputMessage="1" showErrorMessage="1" sqref="B4:B65" xr:uid="{E62B5DE9-4BF6-4310-BEE7-BD30A1854CE7}">
      <formula1>"Enero,Febrero,Marzo,Abril,Mayo,Junio,Julio,Agosto,Septiembre,Octubre,Noviembre,Diciembre"</formula1>
    </dataValidation>
    <dataValidation type="list" allowBlank="1" showErrorMessage="1" sqref="D21:D22 D27 D36" xr:uid="{7E890117-E8BB-435E-9988-9CAB7C28137C}">
      <formula1>"Período de Prueba,Pasantía,Interinato,Por servicios,Renuncia,Dado de baja,Confirmado,No Confirmado,Abandono de labores,Un mes más de prueba"</formula1>
    </dataValidation>
    <dataValidation type="list" allowBlank="1" showInputMessage="1" showErrorMessage="1" sqref="O4" xr:uid="{3E4F243B-982D-48F7-A1BF-B144D14943E8}">
      <formula1>"A, B, C, D, E"</formula1>
    </dataValidation>
  </dataValidations>
  <hyperlinks>
    <hyperlink ref="J4" r:id="rId1" xr:uid="{E0633A2D-6843-4204-867B-94A45B006B8A}"/>
    <hyperlink ref="J11" r:id="rId2" xr:uid="{012ECAD2-FC0F-4E3E-9310-2F2EFEFA3192}"/>
    <hyperlink ref="J12" r:id="rId3" xr:uid="{162F5769-A164-4742-8CFE-9324CAC338B1}"/>
    <hyperlink ref="J8" r:id="rId4" xr:uid="{D1F465B8-8A8A-420B-8D3D-C1D681562B08}"/>
    <hyperlink ref="J7" r:id="rId5" xr:uid="{17F8E9D9-0075-48E7-A01A-601F691D42AE}"/>
    <hyperlink ref="J5" r:id="rId6" xr:uid="{749DB4A4-92A2-458F-AFE0-7086F6672381}"/>
    <hyperlink ref="J20" r:id="rId7" xr:uid="{C99E5B13-9E47-4256-88F7-ABC54C9CC676}"/>
    <hyperlink ref="J13" r:id="rId8" xr:uid="{20E941E4-D3F4-41C1-84CE-3F900835E299}"/>
    <hyperlink ref="J16" r:id="rId9" xr:uid="{4A297B7D-99EF-43A1-97D9-2B0A0FAC3739}"/>
    <hyperlink ref="J17" r:id="rId10" xr:uid="{938FD3A3-B613-4C45-A080-FFD89F7BAD0B}"/>
    <hyperlink ref="J19" r:id="rId11" xr:uid="{A6E23C6B-E4D0-4786-8742-F2C90FB8C6E2}"/>
    <hyperlink ref="J18" r:id="rId12" xr:uid="{A866DFDC-54D9-4DB4-A9A7-521D85BFA7CB}"/>
    <hyperlink ref="J15" r:id="rId13" xr:uid="{DF27D7EF-7E35-4314-9F2A-07D20A024BE0}"/>
    <hyperlink ref="J14" r:id="rId14" xr:uid="{1A3282B9-8EA8-4C5E-BCB4-1D274584EFEB}"/>
    <hyperlink ref="J10" r:id="rId15" xr:uid="{4530B6FA-02D5-4A7C-9CCC-3CAD23BCEB23}"/>
    <hyperlink ref="J9" r:id="rId16" xr:uid="{E48C098B-CEC1-4BA7-8E53-826D76EF1C59}"/>
    <hyperlink ref="J22" r:id="rId17" xr:uid="{E5F96FCB-DC46-456C-A0FA-A424784A04F8}"/>
    <hyperlink ref="J26" r:id="rId18" xr:uid="{E7F8BFF3-A465-4DE2-9F39-1BA4A634AFC8}"/>
    <hyperlink ref="J27" r:id="rId19" xr:uid="{C5F99E80-7578-455D-BB94-4B767155A34E}"/>
    <hyperlink ref="J23" r:id="rId20" xr:uid="{0D77F977-B4D5-44BC-8D8A-58038517F6FC}"/>
    <hyperlink ref="J21" r:id="rId21" display="https://cooperativaintercoprl-my.sharepoint.com/:b:/g/personal/formacionydesarrollo_intercop_gt/IQCjWGu-bjw8T7-UZhAadL81ATvvjM8YaluPeAebbsy_dtI?e=cPuQJ2" xr:uid="{0A2E3F4B-6D0E-424F-938E-59E290D5A577}"/>
    <hyperlink ref="J25" r:id="rId22" xr:uid="{F48819B0-CC05-497C-840B-F12F9FE6A3FB}"/>
    <hyperlink ref="J24" r:id="rId23" xr:uid="{934FAD20-0C4D-4CA0-8990-7E25B5F60C38}"/>
    <hyperlink ref="J32" r:id="rId24" xr:uid="{E540F271-3744-4B6F-85F3-D5C78295E08A}"/>
    <hyperlink ref="J31" r:id="rId25" xr:uid="{09138C2C-5E8A-4F25-B2A5-D160AE739794}"/>
    <hyperlink ref="J29" r:id="rId26" xr:uid="{BEAF27A1-AA98-4371-8B72-E1E09CC74248}"/>
    <hyperlink ref="J33" r:id="rId27" xr:uid="{7012F253-4063-4789-8B71-89FF99CA6B82}"/>
    <hyperlink ref="J34" r:id="rId28" xr:uid="{C6F9192D-0A09-42EC-8517-23A3DDFC24D6}"/>
    <hyperlink ref="J30" r:id="rId29" xr:uid="{2D419C64-CA4F-4FC7-BED4-267EA53B90F3}"/>
    <hyperlink ref="J28" r:id="rId30" xr:uid="{FC74CC8A-EE4B-4E32-A57E-0889BC5F1B38}"/>
    <hyperlink ref="J37" r:id="rId31" display="https://cooperativaintercoprl-my.sharepoint.com/personal/formacionydesarrollo_intercop_gt/_layouts/15/onedrive.aspx?viewid=1aa72562%2D9695%2D4a9c%2Da732%2D7d447f1d52bb&amp;sharingv2=true&amp;fromShare=true&amp;at=9&amp;CID=06b6f4a1%2Dc045%2Db000%2D93ea%2Dcb42adc00309&amp;cidOR=SPO&amp;FolderCTID=0x012000A26FC93FE7A5924D889B9AC06FAD1A0E&amp;id=%2Fpersonal%2Fformacionydesarrollo%5Fintercop%5Fgt%2FDocuments%2FFormaci%C3%B3n%20y%20desarrollo%2FPLANIFICACI%C3%93N%202026%2FDesarrollo%2FPlan%20de%20Trabajo%202026%20Inducci%C3%B3n%20T%C3%A9cnica%2FMaterial%20E%20informe%20de%20Inducci%C3%B3n%20Operativa%2FInformes%20Operativos%2FInformes%20Asesores%20de%20Creditos%2FInforme%20Elmer%20Perez%2Epdf&amp;parent=%2Fpersonal%2Fformacionydesarrollo%5Fintercop%5Fgt%2FDocuments%2FFormaci%C3%B3n%20y%20desarrollo%2FPLANIFICACI%C3%93N%202026%2FDesarrollo%2FPlan%20de%20Trabajo%202026%20Inducci%C3%B3n%20T%C3%A9cnica%2FMaterial%20E%20informe%20de%20Inducci%C3%B3n%20Operativa%2FInformes%20Operativos%2FInformes%20Asesores%20de%20Creditos" xr:uid="{D479707F-3249-432B-A1C1-0B8D24236A58}"/>
    <hyperlink ref="J36" r:id="rId32" xr:uid="{2CF07CAE-6001-4C04-8A2C-8D2F9D82E430}"/>
    <hyperlink ref="J41" r:id="rId33" xr:uid="{E98EFCC7-6E32-4077-A476-14F12B566240}"/>
    <hyperlink ref="J39" r:id="rId34" xr:uid="{C7B72573-5BF5-4BCF-A09B-158FDE921D4B}"/>
    <hyperlink ref="J43" r:id="rId35" display="Cipriano Alexander López Ixcoy.pdf" xr:uid="{68E6E86E-CA9B-4E7B-BCB7-5931891EEFEF}"/>
    <hyperlink ref="J38" r:id="rId36" xr:uid="{D6A1D532-676C-47EA-818F-3F1EC1F2D5A9}"/>
    <hyperlink ref="J47" r:id="rId37" xr:uid="{F5437430-49F4-4FB6-B316-719882EC4AD5}"/>
  </hyperlinks>
  <pageMargins left="0.7" right="0.7" top="0.75" bottom="0.75" header="0.3" footer="0.3"/>
  <tableParts count="1">
    <tablePart r:id="rId3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Informe de inducción operativa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CompuFire</dc:creator>
  <cp:lastModifiedBy>CompuFire</cp:lastModifiedBy>
  <dcterms:created xsi:type="dcterms:W3CDTF">2026-06-27T14:11:29Z</dcterms:created>
  <dcterms:modified xsi:type="dcterms:W3CDTF">2026-06-27T14:15:51Z</dcterms:modified>
</cp:coreProperties>
</file>